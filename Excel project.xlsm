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ables/table1.xml" ContentType="application/vnd.openxmlformats-officedocument.spreadsheetml.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slicers/slicer2.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mc:AlternateContent xmlns:mc="http://schemas.openxmlformats.org/markup-compatibility/2006">
    <mc:Choice Requires="x15">
      <x15ac:absPath xmlns:x15ac="http://schemas.microsoft.com/office/spreadsheetml/2010/11/ac" url="X:\Excel\"/>
    </mc:Choice>
  </mc:AlternateContent>
  <bookViews>
    <workbookView xWindow="0" yWindow="0" windowWidth="23040" windowHeight="10164"/>
  </bookViews>
  <sheets>
    <sheet name="DASHBOARD" sheetId="2" r:id="rId1"/>
    <sheet name="Sheet2" sheetId="4" r:id="rId2"/>
    <sheet name="new dash" sheetId="3" r:id="rId3"/>
    <sheet name="RAW DATA" sheetId="1" r:id="rId4"/>
  </sheets>
  <definedNames>
    <definedName name="Slicer_Region">#N/A</definedName>
    <definedName name="Slicer_Region1">#N/A</definedName>
  </definedNames>
  <calcPr calcId="152511"/>
  <pivotCaches>
    <pivotCache cacheId="0" r:id="rId5"/>
    <pivotCache cacheId="1" r:id="rId6"/>
  </pivotCaches>
  <fileRecoveryPr repairLoad="1"/>
  <extLst>
    <ext xmlns:x14="http://schemas.microsoft.com/office/spreadsheetml/2009/9/main" uri="{BBE1A952-AA13-448e-AADC-164F8A28A991}">
      <x14:slicerCaches>
        <x14:slicerCache r:id="rId7"/>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<sst xmlns="http://schemas.openxmlformats.org/spreadsheetml/2006/main" count="506" uniqueCount="309">
  <si>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</si>
  <si>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</si>
  <si>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</si>
  <si>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</si>
  <si>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</si>
  <si>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</si>
  <si>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</si>
  <si>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</si>
  <si>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</si>
  <si>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</si>
  <si>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</si>
  <si>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</si>
  <si>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</si>
  <si>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</si>
  <si>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</si>
  <si>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</si>
  <si>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</si>
  <si>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</si>
  <si>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</si>
  <si>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</si>
  <si>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</si>
  <si>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</si>
  <si>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</si>
  <si>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</si>
  <si>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</si>
  <si>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</si>
  <si>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</si>
  <si>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</si>
  <si>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</si>
  <si>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</si>
  <si>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</si>
  <si>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</si>
  <si>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</si>
  <si>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</si>
  <si>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</si>
  <si>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</si>
  <si>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</si>
  <si>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</si>
  <si>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</si>
  <si>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</si>
  <si>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</si>
  <si>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</si>
  <si>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</si>
  <si>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</si>
  <si>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</si>
  <si>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</si>
  <si>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</si>
  <si>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</si>
  <si>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</si>
  <si>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</si>
  <si>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</si>
  <si>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</si>
  <si>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</si>
  <si>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</si>
  <si>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</si>
  <si>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</si>
  <si>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</si>
  <si>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</si>
  <si>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</si>
  <si>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</si>
  <si>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</si>
  <si>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</si>
  <si>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</si>
  <si>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</si>
  <si>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</si>
  <si>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</si>
  <si>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</si>
  <si>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</si>
  <si>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</si>
  <si>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</si>
  <si>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</si>
  <si>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</si>
  <si>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</si>
  <si>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</si>
  <si>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</si>
  <si>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</si>
  <si>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</si>
  <si>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</si>
  <si>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</si>
  <si>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</si>
  <si>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</si>
  <si>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</si>
  <si>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</si>
  <si>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</si>
  <si>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</si>
  <si>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</si>
  <si>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</si>
  <si>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</si>
  <si>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</si>
  <si>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</si>
  <si>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</si>
  <si>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</si>
  <si>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</si>
  <si>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</si>
  <si>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</si>
  <si>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</si>
  <si>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</si>
  <si>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</si>
  <si>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</si>
  <si>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</si>
  <si>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</si>
  <si>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</si>
  <si>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</si>
  <si>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</si>
  <si>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</si>
  <si>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</si>
  <si>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</si>
  <si>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</si>
  <si>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</si>
  <si>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</si>
  <si>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</si>
  <si>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</si>
  <si>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</si>
  <si>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</si>
  <si>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</si>
  <si>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</si>
  <si>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</si>
  <si>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</si>
  <si>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</si>
  <si>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</si>
  <si>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</si>
  <si>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</si>
  <si>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</si>
  <si>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</si>
  <si>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</si>
  <si>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</si>
  <si>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</si>
  <si>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</si>
  <si>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</si>
  <si>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</si>
  <si>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</si>
  <si>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</si>
  <si>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</si>
  <si>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</si>
  <si>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</si>
  <si>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</si>
  <si>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</si>
  <si>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</si>
  <si>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</si>
  <si>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</si>
  <si>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</si>
  <si>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</si>
  <si>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</si>
  <si>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</si>
  <si>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</si>
  <si>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</si>
  <si>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</si>
  <si>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</si>
  <si>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</si>
  <si>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</si>
  <si>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</si>
  <si>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</si>
  <si>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</si>
  <si>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</si>
  <si>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</si>
  <si>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</si>
  <si>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</si>
  <si>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</si>
  <si>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</si>
  <si>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</si>
  <si>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</si>
  <si>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</si>
  <si>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</si>
  <si>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</si>
  <si>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</si>
  <si>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</si>
  <si>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</si>
  <si>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</si>
  <si>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</si>
  <si>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</si>
  <si>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</si>
  <si>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</si>
  <si>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</si>
  <si>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</si>
  <si>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</si>
  <si>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</si>
  <si>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</si>
  <si>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</si>
  <si>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</si>
  <si>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</si>
  <si>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</si>
  <si>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</si>
  <si>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</si>
  <si>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</si>
  <si>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</si>
  <si>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</si>
  <si>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</si>
  <si>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</si>
  <si>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</si>
  <si>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</si>
  <si>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</si>
  <si>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</si>
  <si>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</si>
  <si>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</si>
  <si>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</si>
  <si>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</si>
  <si>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</si>
  <si>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</si>
  <si>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</si>
  <si>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</si>
  <si>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</si>
  <si>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</si>
  <si>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</si>
  <si>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</si>
  <si>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</si>
  <si>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</si>
  <si>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</si>
  <si>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</si>
  <si>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</si>
  <si>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</si>
  <si>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</si>
  <si>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</si>
  <si>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</si>
  <si>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</si>
  <si>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</si>
  <si>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</si>
  <si>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</si>
  <si>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</si>
  <si>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</si>
  <si>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</si>
  <si>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</si>
  <si>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</si>
  <si>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</si>
  <si>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</si>
  <si>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</si>
  <si>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</si>
  <si>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</si>
  <si>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</si>
  <si>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</si>
  <si>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</si>
  <si>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</si>
  <si>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</si>
  <si>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</si>
  <si>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</si>
  <si>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</si>
  <si>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</si>
  <si>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</si>
  <si>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</si>
  <si>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</si>
  <si>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</si>
  <si>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</si>
  <si>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</si>
  <si>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</si>
  <si>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</si>
  <si>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</si>
  <si>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</si>
  <si>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</si>
  <si>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</si>
  <si>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</si>
  <si>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</si>
  <si>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</si>
  <si>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</si>
  <si>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</si>
  <si>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</si>
  <si>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</si>
  <si>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</si>
  <si>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</si>
  <si>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</si>
  <si>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</si>
  <si>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</si>
  <si>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</si>
  <si>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</si>
  <si>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</si>
  <si>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</si>
  <si>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</si>
  <si>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</si>
  <si>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</si>
  <si>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</si>
  <si>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</si>
  <si>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</si>
  <si>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</si>
  <si>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</si>
  <si>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</si>
  <si>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</si>
  <si>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</si>
  <si>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</si>
  <si>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</si>
  <si>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</si>
  <si>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</si>
  <si>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</si>
  <si>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</si>
  <si>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</si>
  <si>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</si>
  <si>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</si>
  <si>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</si>
  <si>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</si>
  <si>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</si>
  <si>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</si>
  <si>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</si>
  <si>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</si>
  <si>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</si>
  <si>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</si>
  <si>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</si>
  <si>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</si>
  <si>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</si>
  <si>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</si>
  <si>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</si>
  <si>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</si>
  <si>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</si>
  <si>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</si>
  <si>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</si>
  <si>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</si>
  <si>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</si>
  <si>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</si>
  <si>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</si>
  <si>
    <t>Row Labels</t>
  </si>
  <si>
    <t>(blank)</t>
  </si>
  <si>
    <t>Sum of Total Sales</t>
  </si>
  <si>
    <t xml:space="preserve"> Target Hit %</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</si>
</sst>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
      <patternFill patternType="solid">
        <fgColor theme="0" tint="-0.149998474074526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6">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xf numFmtId="164" fontId="0" fillId="0" borderId="0" xfId="0" applyNumberFormat="1"/>
    <xf numFmtId="0" fontId="0" fillId="5" borderId="0" xfId="0" applyFill="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sharedStrings" Target="sharedStrings.xml"/><Relationship Id="rId5" Type="http://schemas.openxmlformats.org/officeDocument/2006/relationships/pivotCacheDefinition" Target="pivotCache/pivotCacheDefinition1.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project.xlsm]DASHBOARD!PivotTable1</c:name>
    <c:fmtId val="0"/>
  </c:pivotSource>
  <c:chart>
    <c:autoTitleDeleted val="1"/>
    <c:pivotFmts>
      <c:pivotFmt>
        <c:idx val="0"/>
        <c:spPr>
          <a:solidFill>
            <a:schemeClr val="accent1"/>
          </a:solidFill>
          <a:ln>
            <a:noFill/>
          </a:ln>
          <a:effectLst/>
        </c:spPr>
        <c:marker>
          <c:symbol val="none"/>
        </c:marker>
        <c:dLbl>
          <c:idx val="0"/>
          <c:layout/>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Kahkasha Parveen</c:v>
                </c:pt>
                <c:pt idx="1">
                  <c:v>Mukesh Nagar</c:v>
                </c:pt>
                <c:pt idx="2">
                  <c:v>Raj Verma</c:v>
                </c:pt>
                <c:pt idx="3">
                  <c:v>Sanju Ramdas</c:v>
                </c:pt>
                <c:pt idx="4">
                  <c:v>Sheeba Joseph</c:v>
                </c:pt>
              </c:strCache>
            </c:strRef>
          </c:cat>
          <c:val>
            <c:numRef>
              <c:f>DASHBOARD!$B$4:$B$8</c:f>
              <c:numCache>
                <c:formatCode>General</c:formatCode>
                <c:ptCount val="5"/>
                <c:pt idx="0">
                  <c:v>351</c:v>
                </c:pt>
                <c:pt idx="1">
                  <c:v>351</c:v>
                </c:pt>
                <c:pt idx="2">
                  <c:v>339</c:v>
                </c:pt>
                <c:pt idx="3">
                  <c:v>332</c:v>
                </c:pt>
                <c:pt idx="4">
                  <c:v>344</c:v>
                </c:pt>
              </c:numCache>
            </c:numRef>
          </c:val>
          <c:extLst xmlns:c16r2="http://schemas.microsoft.com/office/drawing/2015/06/char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321032112"/>
        <c:axId val="321042416"/>
      </c:barChart>
      <c:catAx>
        <c:axId val="32103211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1042416"/>
        <c:crosses val="autoZero"/>
        <c:auto val="1"/>
        <c:lblAlgn val="ctr"/>
        <c:lblOffset val="100"/>
        <c:noMultiLvlLbl val="0"/>
      </c:catAx>
      <c:valAx>
        <c:axId val="321042416"/>
        <c:scaling>
          <c:orientation val="minMax"/>
        </c:scaling>
        <c:delete val="1"/>
        <c:axPos val="b"/>
        <c:numFmt formatCode="General" sourceLinked="1"/>
        <c:majorTickMark val="none"/>
        <c:minorTickMark val="none"/>
        <c:tickLblPos val="nextTo"/>
        <c:crossAx val="321032112"/>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xmlns:c16r2="http://schemas.microsoft.com/office/drawing/2015/06/chart">
            <c:ext xmlns:c15="http://schemas.microsoft.com/office/drawing/2012/chart" uri="{CE6537A1-D6FC-4f65-9D91-7224C49458BB}">
              <c15:layout/>
            </c:ext>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xmlns:c16r2="http://schemas.microsoft.com/office/drawing/2015/06/char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xmlns:c16r2="http://schemas.microsoft.com/office/drawing/2015/06/char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xmlns:c16r2="http://schemas.microsoft.com/office/drawing/2015/06/char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xmlns:c16r2="http://schemas.microsoft.com/office/drawing/2015/06/char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xmlns:c16r2="http://schemas.microsoft.com/office/drawing/2015/06/char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15:layout/>
              </c:ext>
            </c:extLst>
          </c:dLbls>
          <c:cat>
            <c:strRef>
              <c:f>DASHBOARD!$G$4:$G$8</c:f>
              <c:strCache>
                <c:ptCount val="5"/>
                <c:pt idx="0">
                  <c:v>Kahkasha Parveen</c:v>
                </c:pt>
                <c:pt idx="1">
                  <c:v>Mukesh Nagar</c:v>
                </c:pt>
                <c:pt idx="2">
                  <c:v>Raj Verma</c:v>
                </c:pt>
                <c:pt idx="3">
                  <c:v>Sanju Ramdas</c:v>
                </c:pt>
                <c:pt idx="4">
                  <c:v>Sheeba Joseph</c:v>
                </c:pt>
              </c:strCache>
            </c:strRef>
          </c:cat>
          <c:val>
            <c:numRef>
              <c:f>DASHBOARD!$H$4:$H$8</c:f>
              <c:numCache>
                <c:formatCode>0.00%</c:formatCode>
                <c:ptCount val="5"/>
                <c:pt idx="0">
                  <c:v>0.70199999999999996</c:v>
                </c:pt>
                <c:pt idx="1">
                  <c:v>0.70199999999999996</c:v>
                </c:pt>
                <c:pt idx="2">
                  <c:v>0.67800000000000005</c:v>
                </c:pt>
                <c:pt idx="3">
                  <c:v>0.66400000000000003</c:v>
                </c:pt>
                <c:pt idx="4">
                  <c:v>0.68799999999999994</c:v>
                </c:pt>
              </c:numCache>
            </c:numRef>
          </c:val>
          <c:extLst xmlns:c16r2="http://schemas.microsoft.com/office/drawing/2015/06/char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Data val="1"/>
        <c14:dropZoneSeries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project.xlsm]DASHBOARD!PivotTable4</c:name>
    <c:fmtId val="0"/>
  </c:pivotSource>
  <c:chart>
    <c:autoTitleDeleted val="1"/>
    <c:pivotFmts>
      <c:pivotFmt>
        <c:idx val="0"/>
        <c:spPr>
          <a:ln w="28575" cap="rnd">
            <a:solidFill>
              <a:schemeClr val="accent1"/>
            </a:solidFill>
            <a:round/>
          </a:ln>
          <a:effectLst/>
        </c:spPr>
        <c:marker>
          <c:symbol val="none"/>
        </c:marker>
        <c:dLbl>
          <c:idx val="0"/>
          <c:layout/>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Krishana Kumar</c:v>
                </c:pt>
                <c:pt idx="1">
                  <c:v>Manoj Kumar</c:v>
                </c:pt>
                <c:pt idx="2">
                  <c:v>Omprakash O</c:v>
                </c:pt>
                <c:pt idx="3">
                  <c:v>Rohit Nishchal</c:v>
                </c:pt>
                <c:pt idx="4">
                  <c:v>Swarnlata Borse</c:v>
                </c:pt>
              </c:strCache>
            </c:strRef>
          </c:cat>
          <c:val>
            <c:numRef>
              <c:f>DASHBOARD!$K$4:$K$8</c:f>
              <c:numCache>
                <c:formatCode>0.00%</c:formatCode>
                <c:ptCount val="5"/>
                <c:pt idx="0">
                  <c:v>0.51</c:v>
                </c:pt>
                <c:pt idx="1">
                  <c:v>0.43799999999999994</c:v>
                </c:pt>
                <c:pt idx="2">
                  <c:v>0.71399999999999997</c:v>
                </c:pt>
                <c:pt idx="3">
                  <c:v>0.58600000000000008</c:v>
                </c:pt>
                <c:pt idx="4">
                  <c:v>0.622</c:v>
                </c:pt>
              </c:numCache>
            </c:numRef>
          </c:val>
          <c:smooth val="0"/>
          <c:extLst xmlns:c16r2="http://schemas.microsoft.com/office/drawing/2015/06/char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321374328"/>
        <c:axId val="321524920"/>
      </c:lineChart>
      <c:catAx>
        <c:axId val="3213743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321524920"/>
        <c:crosses val="autoZero"/>
        <c:auto val="1"/>
        <c:lblAlgn val="ctr"/>
        <c:lblOffset val="100"/>
        <c:noMultiLvlLbl val="0"/>
      </c:catAx>
      <c:valAx>
        <c:axId val="321524920"/>
        <c:scaling>
          <c:orientation val="minMax"/>
        </c:scaling>
        <c:delete val="1"/>
        <c:axPos val="l"/>
        <c:numFmt formatCode="0.00%" sourceLinked="1"/>
        <c:majorTickMark val="none"/>
        <c:minorTickMark val="none"/>
        <c:tickLblPos val="nextTo"/>
        <c:crossAx val="321374328"/>
        <c:crosses val="autoZero"/>
        <c:crossBetween val="between"/>
      </c:valAx>
      <c:spPr>
        <a:noFill/>
        <a:ln w="25400">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project.xlsm]new dash!PivotTable22</c:name>
    <c:fmtId val="0"/>
  </c:pivotSource>
  <c:chart>
    <c:title>
      <c:layout>
        <c:manualLayout>
          <c:xMode val="edge"/>
          <c:yMode val="edge"/>
          <c:x val="0.43334707728395228"/>
          <c:y val="8.117996629875899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bar"/>
        <c:grouping val="clustered"/>
        <c:varyColors val="0"/>
        <c:ser>
          <c:idx val="0"/>
          <c:order val="0"/>
          <c:tx>
            <c:strRef>
              <c:f>'new dash'!$B$3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'new dash'!$A$4:$A$8</c:f>
              <c:strCache>
                <c:ptCount val="5"/>
                <c:pt idx="0">
                  <c:v>Anikuttan</c:v>
                </c:pt>
                <c:pt idx="1">
                  <c:v>Arvind Sharma</c:v>
                </c:pt>
                <c:pt idx="2">
                  <c:v>Jagdish Chandra</c:v>
                </c:pt>
                <c:pt idx="3">
                  <c:v>Miny Mole</c:v>
                </c:pt>
                <c:pt idx="4">
                  <c:v>Rachita Anupam</c:v>
                </c:pt>
              </c:strCache>
            </c:strRef>
          </c:cat>
          <c:val>
            <c:numRef>
              <c:f>'new dash'!$B$4:$B$8</c:f>
              <c:numCache>
                <c:formatCode>General</c:formatCode>
                <c:ptCount val="5"/>
                <c:pt idx="0">
                  <c:v>382</c:v>
                </c:pt>
                <c:pt idx="1">
                  <c:v>379</c:v>
                </c:pt>
                <c:pt idx="2">
                  <c:v>389</c:v>
                </c:pt>
                <c:pt idx="3">
                  <c:v>384</c:v>
                </c:pt>
                <c:pt idx="4">
                  <c:v>385</c:v>
                </c:pt>
              </c:numCache>
            </c:numRef>
          </c:val>
        </c:ser>
        <c:dLbls>
          <c:showLegendKey val="0"/>
          <c:showVal val="0"/>
          <c:showCatName val="0"/>
          <c:showSerName val="0"/>
          <c:showPercent val="0"/>
          <c:showBubbleSize val="0"/>
        </c:dLbls>
        <c:gapWidth val="182"/>
        <c:axId val="321928992"/>
        <c:axId val="321950424"/>
      </c:barChart>
      <c:catAx>
        <c:axId val="32192899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1950424"/>
        <c:crosses val="autoZero"/>
        <c:auto val="1"/>
        <c:lblAlgn val="ctr"/>
        <c:lblOffset val="100"/>
        <c:noMultiLvlLbl val="0"/>
      </c:catAx>
      <c:valAx>
        <c:axId val="321950424"/>
        <c:scaling>
          <c:orientation val="minMax"/>
        </c:scaling>
        <c:delete val="1"/>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crossAx val="321928992"/>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project.xlsm]new dash!PivotTable24</c:name>
    <c:fmtId val="0"/>
  </c:pivotSource>
  <c:chart>
    <c:title>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15:layout/>
            </c:ext>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'new dash'!$H$3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Pt>
            <c:idx val="2"/>
            <c:bubble3D val="0"/>
            <c:spPr>
              <a:solidFill>
                <a:schemeClr val="accent3"/>
              </a:solidFill>
              <a:ln>
                <a:noFill/>
              </a:ln>
              <a:effectLst>
                <a:outerShdw blurRad="254000" sx="102000" sy="102000" algn="ctr" rotWithShape="0">
                  <a:prstClr val="black">
                    <a:alpha val="20000"/>
                  </a:prstClr>
                </a:outerShdw>
              </a:effectLst>
            </c:spPr>
          </c:dPt>
          <c:dPt>
            <c:idx val="3"/>
            <c:bubble3D val="0"/>
            <c:spPr>
              <a:solidFill>
                <a:schemeClr val="accent4"/>
              </a:solidFill>
              <a:ln>
                <a:noFill/>
              </a:ln>
              <a:effectLst>
                <a:outerShdw blurRad="254000" sx="102000" sy="102000" algn="ctr" rotWithShape="0">
                  <a:prstClr val="black">
                    <a:alpha val="20000"/>
                  </a:prstClr>
                </a:outerShdw>
              </a:effectLst>
            </c:spPr>
          </c:dPt>
          <c:dPt>
            <c:idx val="4"/>
            <c:bubble3D val="0"/>
            <c:spPr>
              <a:solidFill>
                <a:schemeClr val="accent5"/>
              </a:solidFill>
              <a:ln>
                <a:noFill/>
              </a:ln>
              <a:effectLst>
                <a:outerShdw blurRad="254000" sx="102000" sy="102000" algn="ctr" rotWithShape="0">
                  <a:prstClr val="black">
                    <a:alpha val="20000"/>
                  </a:prstClr>
                </a:outerShdw>
              </a:effectLst>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15:layout/>
              </c:ext>
            </c:extLst>
          </c:dLbls>
          <c:cat>
            <c:strRef>
              <c:f>'new dash'!$G$4:$G$8</c:f>
              <c:strCache>
                <c:ptCount val="5"/>
                <c:pt idx="0">
                  <c:v>Anikuttan</c:v>
                </c:pt>
                <c:pt idx="1">
                  <c:v>Arvind Sharma</c:v>
                </c:pt>
                <c:pt idx="2">
                  <c:v>Jagdish Chandra</c:v>
                </c:pt>
                <c:pt idx="3">
                  <c:v>Miny Mole</c:v>
                </c:pt>
                <c:pt idx="4">
                  <c:v>Rachita Anupam</c:v>
                </c:pt>
              </c:strCache>
            </c:strRef>
          </c:cat>
          <c:val>
            <c:numRef>
              <c:f>'new dash'!$H$4:$H$8</c:f>
              <c:numCache>
                <c:formatCode>0.0%</c:formatCode>
                <c:ptCount val="5"/>
                <c:pt idx="0">
                  <c:v>0.76400000000000001</c:v>
                </c:pt>
                <c:pt idx="1">
                  <c:v>0.75800000000000001</c:v>
                </c:pt>
                <c:pt idx="2">
                  <c:v>0.77800000000000002</c:v>
                </c:pt>
                <c:pt idx="3">
                  <c:v>0.76800000000000002</c:v>
                </c:pt>
                <c:pt idx="4">
                  <c:v>0.77</c:v>
                </c:pt>
              </c:numCache>
            </c:numRef>
          </c:val>
        </c:ser>
        <c:dLbls>
          <c:dLblPos val="ctr"/>
          <c:showLegendKey val="0"/>
          <c:showVal val="0"/>
          <c:showCatName val="0"/>
          <c:showSerName val="0"/>
          <c:showPercent val="1"/>
          <c:showBubbleSize val="0"/>
          <c:showLeaderLines val="1"/>
        </c:dLbls>
        <c:firstSliceAng val="0"/>
      </c:pieChart>
      <c:spPr>
        <a:noFill/>
        <a:ln>
          <a:noFill/>
        </a:ln>
        <a:effectLst/>
      </c:spPr>
    </c:plotArea>
    <c:legend>
      <c:legendPos val="r"/>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project.xlsm]new dash!PivotTable25</c:name>
    <c:fmtId val="0"/>
  </c:pivotSource>
  <c:chart>
    <c:title>
      <c:layout>
        <c:manualLayout>
          <c:xMode val="edge"/>
          <c:yMode val="edge"/>
          <c:x val="0.420014542779786"/>
          <c:y val="4.95726795985003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lineChart>
        <c:grouping val="standard"/>
        <c:varyColors val="0"/>
        <c:ser>
          <c:idx val="0"/>
          <c:order val="0"/>
          <c:tx>
            <c:strRef>
              <c:f>'new dash'!$K$3</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'new dash'!$J$4:$J$8</c:f>
              <c:strCache>
                <c:ptCount val="5"/>
                <c:pt idx="0">
                  <c:v>Dinesh Kumar</c:v>
                </c:pt>
                <c:pt idx="1">
                  <c:v>Omprakash O</c:v>
                </c:pt>
                <c:pt idx="2">
                  <c:v>Pankaj Shelkey</c:v>
                </c:pt>
                <c:pt idx="3">
                  <c:v>Praveen Kumar</c:v>
                </c:pt>
                <c:pt idx="4">
                  <c:v>(blank)</c:v>
                </c:pt>
              </c:strCache>
            </c:strRef>
          </c:cat>
          <c:val>
            <c:numRef>
              <c:f>'new dash'!$K$4:$K$8</c:f>
              <c:numCache>
                <c:formatCode>0.0%</c:formatCode>
                <c:ptCount val="5"/>
                <c:pt idx="0">
                  <c:v>0.33200000000000002</c:v>
                </c:pt>
                <c:pt idx="1">
                  <c:v>0.28599999999999998</c:v>
                </c:pt>
                <c:pt idx="2">
                  <c:v>0.312</c:v>
                </c:pt>
                <c:pt idx="3">
                  <c:v>0.33200000000000002</c:v>
                </c:pt>
              </c:numCache>
            </c:numRef>
          </c:val>
          <c:smooth val="0"/>
        </c:ser>
        <c:dLbls>
          <c:showLegendKey val="0"/>
          <c:showVal val="0"/>
          <c:showCatName val="0"/>
          <c:showSerName val="0"/>
          <c:showPercent val="0"/>
          <c:showBubbleSize val="0"/>
        </c:dLbls>
        <c:smooth val="0"/>
        <c:axId val="323083560"/>
        <c:axId val="322593424"/>
      </c:lineChart>
      <c:catAx>
        <c:axId val="3230835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2593424"/>
        <c:crosses val="autoZero"/>
        <c:auto val="1"/>
        <c:lblAlgn val="ctr"/>
        <c:lblOffset val="100"/>
        <c:noMultiLvlLbl val="0"/>
      </c:catAx>
      <c:valAx>
        <c:axId val="322593424"/>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3083560"/>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ctrlProps/ctrlProp5.xml><?xml version="1.0" encoding="utf-8"?>
<formControlPr xmlns="http://schemas.microsoft.com/office/spreadsheetml/2009/9/main" objectType="CheckBox" checked="Checked" fmlaLink="$A$2" lockText="1" noThreeD="1"/>
</file>

<file path=xl/ctrlProps/ctrlProp6.xml><?xml version="1.0" encoding="utf-8"?>
<formControlPr xmlns="http://schemas.microsoft.com/office/spreadsheetml/2009/9/main" objectType="CheckBox" fmlaLink="$D$2" lockText="1" noThreeD="1"/>
</file>

<file path=xl/ctrlProps/ctrlProp7.xml><?xml version="1.0" encoding="utf-8"?>
<formControlPr xmlns="http://schemas.microsoft.com/office/spreadsheetml/2009/9/main" objectType="CheckBox" fmlaLink="$G$2" lockText="1" noThreeD="1"/>
</file>

<file path=xl/ctrlProps/ctrlProp8.xml><?xml version="1.0" encoding="utf-8"?>
<formControlPr xmlns="http://schemas.microsoft.com/office/spreadsheetml/2009/9/main" objectType="CheckBox" fmlaLink="$J$2"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373380</xdr:colOff>
          <xdr:row>1</xdr:row>
          <xdr:rowOff>137160</xdr:rowOff>
        </xdr:from>
        <xdr:to>
          <xdr:col>1</xdr:col>
          <xdr:colOff>99060</xdr:colOff>
          <xdr:row>1</xdr:row>
          <xdr:rowOff>358140</xdr:rowOff>
        </xdr:to>
        <xdr:sp macro="" textlink="">
          <xdr:nvSpPr>
            <xdr:cNvPr id="2049" name="Check Box 1" hidden="1">
              <a:extLst>
                <a:ext uri="{63B3BB69-23CF-44E3-9099-C40C66FF867C}">
                  <a14:compatExt spid="_x0000_s2049"/>
                </a:ext>
                <a:ext uri="{FF2B5EF4-FFF2-40B4-BE49-F238E27FC236}">
                  <a16:creationId xmlns=""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586740</xdr:colOff>
          <xdr:row>1</xdr:row>
          <xdr:rowOff>129540</xdr:rowOff>
        </xdr:from>
        <xdr:to>
          <xdr:col>4</xdr:col>
          <xdr:colOff>335280</xdr:colOff>
          <xdr:row>1</xdr:row>
          <xdr:rowOff>350520</xdr:rowOff>
        </xdr:to>
        <xdr:sp macro="" textlink="">
          <xdr:nvSpPr>
            <xdr:cNvPr id="2050" name="Check Box 2" hidden="1">
              <a:extLst>
                <a:ext uri="{63B3BB69-23CF-44E3-9099-C40C66FF867C}">
                  <a14:compatExt spid="_x0000_s2050"/>
                </a:ext>
                <a:ext uri="{FF2B5EF4-FFF2-40B4-BE49-F238E27FC236}">
                  <a16:creationId xmlns=""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693420</xdr:colOff>
          <xdr:row>1</xdr:row>
          <xdr:rowOff>137160</xdr:rowOff>
        </xdr:from>
        <xdr:to>
          <xdr:col>7</xdr:col>
          <xdr:colOff>617220</xdr:colOff>
          <xdr:row>1</xdr:row>
          <xdr:rowOff>358140</xdr:rowOff>
        </xdr:to>
        <xdr:sp macro="" textlink="">
          <xdr:nvSpPr>
            <xdr:cNvPr id="2051" name="Check Box 3" hidden="1">
              <a:extLst>
                <a:ext uri="{63B3BB69-23CF-44E3-9099-C40C66FF867C}">
                  <a14:compatExt spid="_x0000_s2051"/>
                </a:ext>
                <a:ext uri="{FF2B5EF4-FFF2-40B4-BE49-F238E27FC236}">
                  <a16:creationId xmlns=""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899160</xdr:colOff>
          <xdr:row>1</xdr:row>
          <xdr:rowOff>137160</xdr:rowOff>
        </xdr:from>
        <xdr:to>
          <xdr:col>10</xdr:col>
          <xdr:colOff>624840</xdr:colOff>
          <xdr:row>1</xdr:row>
          <xdr:rowOff>358140</xdr:rowOff>
        </xdr:to>
        <xdr:sp macro="" textlink="">
          <xdr:nvSpPr>
            <xdr:cNvPr id="2052" name="Check Box 4" hidden="1">
              <a:extLst>
                <a:ext uri="{63B3BB69-23CF-44E3-9099-C40C66FF867C}">
                  <a14:compatExt spid="_x0000_s2052"/>
                </a:ext>
                <a:ext uri="{FF2B5EF4-FFF2-40B4-BE49-F238E27FC236}">
                  <a16:creationId xmlns=""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55181</xdr:colOff>
      <xdr:row>8</xdr:row>
      <xdr:rowOff>68316</xdr:rowOff>
    </xdr:from>
    <xdr:to>
      <xdr:col>3</xdr:col>
      <xdr:colOff>840828</xdr:colOff>
      <xdr:row>19</xdr:row>
      <xdr:rowOff>78828</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105104</xdr:colOff>
      <xdr:row>8</xdr:row>
      <xdr:rowOff>73571</xdr:rowOff>
    </xdr:from>
    <xdr:to>
      <xdr:col>7</xdr:col>
      <xdr:colOff>436180</xdr:colOff>
      <xdr:row>19</xdr:row>
      <xdr:rowOff>123495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614855</xdr:colOff>
      <xdr:row>8</xdr:row>
      <xdr:rowOff>78827</xdr:rowOff>
    </xdr:from>
    <xdr:to>
      <xdr:col>12</xdr:col>
      <xdr:colOff>131377</xdr:colOff>
      <xdr:row>19</xdr:row>
      <xdr:rowOff>105102</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126124</xdr:colOff>
      <xdr:row>0</xdr:row>
      <xdr:rowOff>0</xdr:rowOff>
    </xdr:from>
    <xdr:to>
      <xdr:col>11</xdr:col>
      <xdr:colOff>70757</xdr:colOff>
      <xdr:row>1</xdr:row>
      <xdr:rowOff>510579</xdr:rowOff>
    </xdr:to>
    <mc:AlternateContent xmlns:mc="http://schemas.openxmlformats.org/markup-compatibility/2006" xmlns:a14="http://schemas.microsoft.com/office/drawing/2010/main">
      <mc:Choice Requires="a14">
        <xdr:graphicFrame macro="">
          <xdr:nvGraphicFramePr>
            <xdr:cNvPr id="5" name="Region 1"/>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126124" y="0"/>
              <a:ext cx="8500054" cy="684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157653</xdr:colOff>
      <xdr:row>1</xdr:row>
      <xdr:rowOff>183931</xdr:rowOff>
    </xdr:from>
    <xdr:to>
      <xdr:col>1</xdr:col>
      <xdr:colOff>278522</xdr:colOff>
      <xdr:row>1</xdr:row>
      <xdr:rowOff>472965</xdr:rowOff>
    </xdr:to>
    <xdr:sp macro="[0]!SlicerConnection" textlink="">
      <xdr:nvSpPr>
        <xdr:cNvPr id="6" name="Rounded Rectangular Callout 5"/>
        <xdr:cNvSpPr/>
      </xdr:nvSpPr>
      <xdr:spPr>
        <a:xfrm>
          <a:off x="157653" y="357352"/>
          <a:ext cx="1135117" cy="289034"/>
        </a:xfrm>
        <a:prstGeom prst="wedgeRoundRectCallou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0</xdr:col>
          <xdr:colOff>358140</xdr:colOff>
          <xdr:row>1</xdr:row>
          <xdr:rowOff>167640</xdr:rowOff>
        </xdr:from>
        <xdr:to>
          <xdr:col>1</xdr:col>
          <xdr:colOff>45720</xdr:colOff>
          <xdr:row>1</xdr:row>
          <xdr:rowOff>381000</xdr:rowOff>
        </xdr:to>
        <xdr:sp macro="" textlink="">
          <xdr:nvSpPr>
            <xdr:cNvPr id="4097" name="Check Box 1" hidden="1">
              <a:extLst>
                <a:ext uri="{63B3BB69-23CF-44E3-9099-C40C66FF867C}">
                  <a14:compatExt spid="_x0000_s40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Check Box 1</a:t>
              </a:r>
            </a:p>
          </xdr:txBody>
        </xdr:sp>
        <xdr:clientData/>
      </xdr:twoCellAnchor>
    </mc:Choice>
    <mc:Fallback/>
  </mc:AlternateContent>
  <xdr:twoCellAnchor>
    <xdr:from>
      <xdr:col>3</xdr:col>
      <xdr:colOff>336332</xdr:colOff>
      <xdr:row>1</xdr:row>
      <xdr:rowOff>162909</xdr:rowOff>
    </xdr:from>
    <xdr:to>
      <xdr:col>4</xdr:col>
      <xdr:colOff>541284</xdr:colOff>
      <xdr:row>1</xdr:row>
      <xdr:rowOff>467709</xdr:rowOff>
    </xdr:to>
    <xdr:sp macro="[0]!SlicerConnection" textlink="">
      <xdr:nvSpPr>
        <xdr:cNvPr id="8" name="Rounded Rectangular Callout 7"/>
        <xdr:cNvSpPr/>
      </xdr:nvSpPr>
      <xdr:spPr>
        <a:xfrm>
          <a:off x="2732691" y="336330"/>
          <a:ext cx="1135117" cy="304800"/>
        </a:xfrm>
        <a:prstGeom prst="wedgeRoundRectCallout">
          <a:avLst>
            <a:gd name="adj1" fmla="val -20370"/>
            <a:gd name="adj2" fmla="val 65948"/>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6</xdr:col>
      <xdr:colOff>141890</xdr:colOff>
      <xdr:row>1</xdr:row>
      <xdr:rowOff>194441</xdr:rowOff>
    </xdr:from>
    <xdr:to>
      <xdr:col>7</xdr:col>
      <xdr:colOff>262759</xdr:colOff>
      <xdr:row>1</xdr:row>
      <xdr:rowOff>483475</xdr:rowOff>
    </xdr:to>
    <xdr:sp macro="[0]!SlicerConnection" textlink="">
      <xdr:nvSpPr>
        <xdr:cNvPr id="9" name="Rounded Rectangular Callout 8"/>
        <xdr:cNvSpPr/>
      </xdr:nvSpPr>
      <xdr:spPr>
        <a:xfrm>
          <a:off x="4840014" y="367862"/>
          <a:ext cx="1135117" cy="289034"/>
        </a:xfrm>
        <a:prstGeom prst="wedgeRoundRectCallou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68317</xdr:colOff>
      <xdr:row>1</xdr:row>
      <xdr:rowOff>189187</xdr:rowOff>
    </xdr:from>
    <xdr:to>
      <xdr:col>10</xdr:col>
      <xdr:colOff>273268</xdr:colOff>
      <xdr:row>1</xdr:row>
      <xdr:rowOff>478221</xdr:rowOff>
    </xdr:to>
    <xdr:sp macro="" textlink="">
      <xdr:nvSpPr>
        <xdr:cNvPr id="10" name="Rounded Rectangular Callout 9"/>
        <xdr:cNvSpPr/>
      </xdr:nvSpPr>
      <xdr:spPr>
        <a:xfrm>
          <a:off x="6747641" y="362608"/>
          <a:ext cx="1135117" cy="289034"/>
        </a:xfrm>
        <a:prstGeom prst="wedgeRoundRectCallou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518160</xdr:colOff>
          <xdr:row>1</xdr:row>
          <xdr:rowOff>297180</xdr:rowOff>
        </xdr:from>
        <xdr:to>
          <xdr:col>4</xdr:col>
          <xdr:colOff>297180</xdr:colOff>
          <xdr:row>1</xdr:row>
          <xdr:rowOff>518160</xdr:rowOff>
        </xdr:to>
        <xdr:sp macro="" textlink="">
          <xdr:nvSpPr>
            <xdr:cNvPr id="4098" name="Check Box 2" hidden="1">
              <a:extLst>
                <a:ext uri="{63B3BB69-23CF-44E3-9099-C40C66FF867C}">
                  <a14:compatExt spid="_x0000_s40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Check Box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1</xdr:row>
          <xdr:rowOff>160020</xdr:rowOff>
        </xdr:from>
        <xdr:to>
          <xdr:col>6</xdr:col>
          <xdr:colOff>975360</xdr:colOff>
          <xdr:row>1</xdr:row>
          <xdr:rowOff>396240</xdr:rowOff>
        </xdr:to>
        <xdr:sp macro="" textlink="">
          <xdr:nvSpPr>
            <xdr:cNvPr id="4099" name="Check Box 3" hidden="1">
              <a:extLst>
                <a:ext uri="{63B3BB69-23CF-44E3-9099-C40C66FF867C}">
                  <a14:compatExt spid="_x0000_s40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Check Box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182880</xdr:colOff>
          <xdr:row>1</xdr:row>
          <xdr:rowOff>182880</xdr:rowOff>
        </xdr:from>
        <xdr:to>
          <xdr:col>9</xdr:col>
          <xdr:colOff>891540</xdr:colOff>
          <xdr:row>1</xdr:row>
          <xdr:rowOff>388620</xdr:rowOff>
        </xdr:to>
        <xdr:sp macro="" textlink="">
          <xdr:nvSpPr>
            <xdr:cNvPr id="4100" name="Check Box 4" hidden="1">
              <a:extLst>
                <a:ext uri="{63B3BB69-23CF-44E3-9099-C40C66FF867C}">
                  <a14:compatExt spid="_x0000_s4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Check Box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user" refreshedDate="44711.301322222222" createdVersion="6" refreshedVersion="6" minRefreshableVersion="3" recordCount="141">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Definition2.xml><?xml version="1.0" encoding="utf-8"?>
<pivotCacheDefinition xmlns="http://schemas.openxmlformats.org/spreadsheetml/2006/main" xmlns:r="http://schemas.openxmlformats.org/officeDocument/2006/relationships" r:id="rId1" refreshedBy="jagdish" refreshedDate="46013.97036875" createdVersion="5" refreshedVersion="5" minRefreshableVersion="3" recordCount="142">
  <cacheSource type="worksheet">
    <worksheetSource ref="A1:L1048576" sheet="RAW DATA"/>
  </cacheSource>
  <cacheFields count="12">
    <cacheField name="Emp Code" numFmtId="0">
      <sharedItems containsBlank="1"/>
    </cacheField>
    <cacheField name="Sales Executive" numFmtId="0">
      <sharedItems containsBlank="1" count="142">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m/>
      </sharedItems>
    </cacheField>
    <cacheField name="Region" numFmtId="0">
      <sharedItems containsBlank="1" count="9">
        <s v="Mumbai"/>
        <s v="Delhi"/>
        <s v="Nagpur"/>
        <s v="Chennai"/>
        <s v="Pune"/>
        <s v="Patna"/>
        <s v="Ranchi"/>
        <s v="Surat"/>
        <m/>
      </sharedItems>
    </cacheField>
    <cacheField name="Day1" numFmtId="0">
      <sharedItems containsString="0" containsBlank="1" containsNumber="1" containsInteger="1" minValue="10" maxValue="99" count="71">
        <n v="49"/>
        <n v="44"/>
        <n v="45"/>
        <n v="52"/>
        <n v="35"/>
        <n v="86"/>
        <n v="84"/>
        <n v="73"/>
        <n v="54"/>
        <n v="63"/>
        <n v="79"/>
        <n v="95"/>
        <n v="83"/>
        <n v="78"/>
        <n v="14"/>
        <n v="37"/>
        <n v="11"/>
        <n v="19"/>
        <n v="93"/>
        <n v="68"/>
        <n v="99"/>
        <n v="57"/>
        <n v="40"/>
        <n v="47"/>
        <n v="16"/>
        <n v="72"/>
        <n v="30"/>
        <n v="65"/>
        <n v="10"/>
        <n v="82"/>
        <n v="91"/>
        <n v="66"/>
        <n v="70"/>
        <n v="74"/>
        <n v="80"/>
        <n v="17"/>
        <n v="88"/>
        <n v="23"/>
        <n v="15"/>
        <n v="18"/>
        <n v="34"/>
        <n v="76"/>
        <n v="43"/>
        <n v="75"/>
        <n v="87"/>
        <n v="51"/>
        <n v="32"/>
        <n v="41"/>
        <n v="12"/>
        <n v="98"/>
        <n v="50"/>
        <n v="71"/>
        <n v="48"/>
        <n v="77"/>
        <n v="81"/>
        <n v="39"/>
        <n v="46"/>
        <n v="96"/>
        <n v="31"/>
        <n v="92"/>
        <n v="55"/>
        <n v="61"/>
        <n v="24"/>
        <n v="26"/>
        <n v="20"/>
        <n v="25"/>
        <n v="60"/>
        <n v="42"/>
        <n v="90"/>
        <n v="85"/>
        <m/>
      </sharedItems>
    </cacheField>
    <cacheField name="Day2" numFmtId="0">
      <sharedItems containsString="0" containsBlank="1" containsNumber="1" containsInteger="1" minValue="11" maxValue="99" count="71">
        <n v="84"/>
        <n v="85"/>
        <n v="79"/>
        <n v="99"/>
        <n v="54"/>
        <n v="31"/>
        <n v="28"/>
        <n v="97"/>
        <n v="26"/>
        <n v="52"/>
        <n v="17"/>
        <n v="88"/>
        <n v="77"/>
        <n v="58"/>
        <n v="25"/>
        <n v="69"/>
        <n v="46"/>
        <n v="34"/>
        <n v="73"/>
        <n v="22"/>
        <n v="71"/>
        <n v="87"/>
        <n v="38"/>
        <n v="90"/>
        <n v="66"/>
        <n v="30"/>
        <n v="59"/>
        <n v="23"/>
        <n v="13"/>
        <n v="18"/>
        <n v="60"/>
        <n v="51"/>
        <n v="82"/>
        <n v="16"/>
        <n v="72"/>
        <n v="36"/>
        <n v="67"/>
        <n v="39"/>
        <n v="14"/>
        <n v="35"/>
        <n v="12"/>
        <n v="55"/>
        <n v="70"/>
        <n v="78"/>
        <n v="75"/>
        <n v="74"/>
        <n v="11"/>
        <n v="15"/>
        <n v="44"/>
        <n v="83"/>
        <n v="94"/>
        <n v="49"/>
        <n v="63"/>
        <n v="19"/>
        <n v="42"/>
        <n v="80"/>
        <n v="48"/>
        <n v="45"/>
        <n v="96"/>
        <n v="91"/>
        <n v="53"/>
        <n v="62"/>
        <n v="65"/>
        <n v="61"/>
        <n v="92"/>
        <n v="24"/>
        <n v="68"/>
        <n v="21"/>
        <n v="43"/>
        <n v="81"/>
        <m/>
      </sharedItems>
    </cacheField>
    <cacheField name="Day3" numFmtId="0">
      <sharedItems containsString="0" containsBlank="1" containsNumber="1" containsInteger="1" minValue="10" maxValue="99" count="70">
        <n v="98"/>
        <n v="47"/>
        <n v="88"/>
        <n v="13"/>
        <n v="49"/>
        <n v="23"/>
        <n v="38"/>
        <n v="53"/>
        <n v="19"/>
        <n v="40"/>
        <n v="95"/>
        <n v="11"/>
        <n v="66"/>
        <n v="34"/>
        <n v="45"/>
        <n v="96"/>
        <n v="91"/>
        <n v="64"/>
        <n v="97"/>
        <n v="48"/>
        <n v="31"/>
        <n v="18"/>
        <n v="94"/>
        <n v="80"/>
        <n v="92"/>
        <n v="70"/>
        <n v="99"/>
        <n v="17"/>
        <n v="41"/>
        <n v="79"/>
        <n v="25"/>
        <n v="44"/>
        <n v="33"/>
        <n v="74"/>
        <n v="10"/>
        <n v="15"/>
        <n v="12"/>
        <n v="90"/>
        <n v="84"/>
        <n v="72"/>
        <n v="82"/>
        <n v="42"/>
        <n v="56"/>
        <n v="71"/>
        <n v="89"/>
        <n v="46"/>
        <n v="27"/>
        <n v="58"/>
        <n v="87"/>
        <n v="63"/>
        <n v="68"/>
        <n v="62"/>
        <n v="59"/>
        <n v="43"/>
        <n v="65"/>
        <n v="21"/>
        <n v="20"/>
        <n v="50"/>
        <n v="86"/>
        <n v="81"/>
        <n v="16"/>
        <n v="32"/>
        <n v="85"/>
        <n v="35"/>
        <n v="61"/>
        <n v="93"/>
        <n v="26"/>
        <n v="75"/>
        <n v="57"/>
        <m/>
      </sharedItems>
    </cacheField>
    <cacheField name="Day4" numFmtId="0">
      <sharedItems containsString="0" containsBlank="1" containsNumber="1" containsInteger="1" minValue="11" maxValue="99" count="74">
        <n v="67"/>
        <n v="15"/>
        <n v="73"/>
        <n v="95"/>
        <n v="26"/>
        <n v="48"/>
        <n v="80"/>
        <n v="24"/>
        <n v="36"/>
        <n v="53"/>
        <n v="12"/>
        <n v="78"/>
        <n v="22"/>
        <n v="84"/>
        <n v="70"/>
        <n v="66"/>
        <n v="98"/>
        <n v="65"/>
        <n v="45"/>
        <n v="76"/>
        <n v="44"/>
        <n v="34"/>
        <n v="11"/>
        <n v="75"/>
        <n v="72"/>
        <n v="89"/>
        <n v="85"/>
        <n v="77"/>
        <n v="94"/>
        <n v="17"/>
        <n v="61"/>
        <n v="64"/>
        <n v="55"/>
        <n v="46"/>
        <n v="54"/>
        <n v="97"/>
        <n v="60"/>
        <n v="19"/>
        <n v="41"/>
        <n v="99"/>
        <n v="58"/>
        <n v="31"/>
        <n v="81"/>
        <n v="83"/>
        <n v="16"/>
        <n v="43"/>
        <n v="14"/>
        <n v="20"/>
        <n v="33"/>
        <n v="35"/>
        <n v="29"/>
        <n v="82"/>
        <n v="13"/>
        <n v="42"/>
        <n v="23"/>
        <n v="63"/>
        <n v="57"/>
        <n v="90"/>
        <n v="32"/>
        <n v="68"/>
        <n v="69"/>
        <n v="91"/>
        <n v="40"/>
        <n v="25"/>
        <n v="30"/>
        <n v="47"/>
        <n v="28"/>
        <n v="71"/>
        <n v="96"/>
        <n v="92"/>
        <n v="51"/>
        <n v="86"/>
        <n v="56"/>
        <m/>
      </sharedItems>
    </cacheField>
    <cacheField name="Day5" numFmtId="0">
      <sharedItems containsString="0" containsBlank="1" containsNumber="1" containsInteger="1" minValue="10" maxValue="99" count="77">
        <n v="41"/>
        <n v="48"/>
        <n v="94"/>
        <n v="29"/>
        <n v="49"/>
        <n v="77"/>
        <n v="79"/>
        <n v="53"/>
        <n v="20"/>
        <n v="37"/>
        <n v="51"/>
        <n v="91"/>
        <n v="60"/>
        <n v="40"/>
        <n v="31"/>
        <n v="45"/>
        <n v="38"/>
        <n v="70"/>
        <n v="18"/>
        <n v="93"/>
        <n v="52"/>
        <n v="92"/>
        <n v="33"/>
        <n v="34"/>
        <n v="97"/>
        <n v="10"/>
        <n v="89"/>
        <n v="67"/>
        <n v="22"/>
        <n v="47"/>
        <n v="61"/>
        <n v="59"/>
        <n v="30"/>
        <n v="58"/>
        <n v="56"/>
        <n v="28"/>
        <n v="13"/>
        <n v="42"/>
        <n v="78"/>
        <n v="21"/>
        <n v="90"/>
        <n v="72"/>
        <n v="57"/>
        <n v="23"/>
        <n v="71"/>
        <n v="35"/>
        <n v="26"/>
        <n v="44"/>
        <n v="50"/>
        <n v="65"/>
        <n v="11"/>
        <n v="17"/>
        <n v="39"/>
        <n v="27"/>
        <n v="83"/>
        <n v="46"/>
        <n v="63"/>
        <n v="81"/>
        <n v="54"/>
        <n v="73"/>
        <n v="99"/>
        <n v="95"/>
        <n v="19"/>
        <n v="16"/>
        <n v="25"/>
        <n v="76"/>
        <n v="55"/>
        <n v="86"/>
        <n v="88"/>
        <n v="96"/>
        <n v="15"/>
        <n v="98"/>
        <n v="75"/>
        <n v="12"/>
        <n v="43"/>
        <n v="64"/>
        <m/>
      </sharedItems>
    </cacheField>
    <cacheField name="Total Sales" numFmtId="0">
      <sharedItems containsString="0" containsBlank="1" containsNumber="1" containsInteger="1" minValue="143" maxValue="389"/>
    </cacheField>
    <cacheField name="Target" numFmtId="0">
      <sharedItems containsString="0" containsBlank="1" containsNumber="1" containsInteger="1" minValue="500" maxValue="500"/>
    </cacheField>
    <cacheField name="Target Hit %" numFmtId="0">
      <sharedItems containsString="0" containsBlank="1" containsNumber="1" minValue="0.28599999999999998" maxValue="0.77800000000000002"/>
    </cacheField>
    <cacheField name="Away From Target %" numFmtId="0">
      <sharedItems containsString="0" containsBlank="1" containsNumber="1" minValue="0.22199999999999998" maxValue="0.71399999999999997"/>
    </cacheField>
  </cacheFields>
  <extLst>
    <ext xmlns:x14="http://schemas.microsoft.com/office/spreadsheetml/2009/9/main" uri="{725AE2AE-9491-48be-B2B4-4EB974FC3084}">
      <x14:pivotCacheDefinition pivotCacheId="9356687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Cache/pivotCacheRecords2.xml><?xml version="1.0" encoding="utf-8"?>
<pivotCacheRecords xmlns="http://schemas.openxmlformats.org/spreadsheetml/2006/main" xmlns:r="http://schemas.openxmlformats.org/officeDocument/2006/relationships" count="142">
  <r>
    <s v="Mum-TCL001"/>
    <x v="0"/>
    <x v="0"/>
    <x v="0"/>
    <x v="0"/>
    <x v="0"/>
    <x v="0"/>
    <x v="0"/>
    <n v="339"/>
    <n v="500"/>
    <n v="0.67800000000000005"/>
    <n v="0.32199999999999995"/>
  </r>
  <r>
    <s v="Mum-TCL002"/>
    <x v="1"/>
    <x v="1"/>
    <x v="1"/>
    <x v="1"/>
    <x v="1"/>
    <x v="1"/>
    <x v="1"/>
    <n v="239"/>
    <n v="500"/>
    <n v="0.47799999999999998"/>
    <n v="0.52200000000000002"/>
  </r>
  <r>
    <s v="Mum-TCL003"/>
    <x v="2"/>
    <x v="2"/>
    <x v="2"/>
    <x v="2"/>
    <x v="2"/>
    <x v="2"/>
    <x v="2"/>
    <n v="379"/>
    <n v="500"/>
    <n v="0.75800000000000001"/>
    <n v="0.24199999999999999"/>
  </r>
  <r>
    <s v="Mum-TCL004"/>
    <x v="3"/>
    <x v="3"/>
    <x v="3"/>
    <x v="3"/>
    <x v="3"/>
    <x v="3"/>
    <x v="3"/>
    <n v="288"/>
    <n v="500"/>
    <n v="0.57599999999999996"/>
    <n v="0.42400000000000004"/>
  </r>
  <r>
    <s v="Mum-TCL005"/>
    <x v="4"/>
    <x v="4"/>
    <x v="4"/>
    <x v="4"/>
    <x v="4"/>
    <x v="4"/>
    <x v="4"/>
    <n v="213"/>
    <n v="500"/>
    <n v="0.42599999999999999"/>
    <n v="0.57400000000000007"/>
  </r>
  <r>
    <s v="Mum-TCL006"/>
    <x v="5"/>
    <x v="5"/>
    <x v="5"/>
    <x v="5"/>
    <x v="5"/>
    <x v="5"/>
    <x v="5"/>
    <n v="265"/>
    <n v="500"/>
    <n v="0.53"/>
    <n v="0.47"/>
  </r>
  <r>
    <s v="Mum-TCL007"/>
    <x v="6"/>
    <x v="6"/>
    <x v="6"/>
    <x v="6"/>
    <x v="0"/>
    <x v="6"/>
    <x v="6"/>
    <n v="369"/>
    <n v="500"/>
    <n v="0.73799999999999999"/>
    <n v="0.26200000000000001"/>
  </r>
  <r>
    <s v="Mum-TCL008"/>
    <x v="7"/>
    <x v="7"/>
    <x v="7"/>
    <x v="7"/>
    <x v="6"/>
    <x v="7"/>
    <x v="7"/>
    <n v="285"/>
    <n v="500"/>
    <n v="0.56999999999999995"/>
    <n v="0.43000000000000005"/>
  </r>
  <r>
    <s v="Mum-TCL009"/>
    <x v="8"/>
    <x v="0"/>
    <x v="8"/>
    <x v="8"/>
    <x v="7"/>
    <x v="8"/>
    <x v="8"/>
    <n v="189"/>
    <n v="500"/>
    <n v="0.378"/>
    <n v="0.622"/>
  </r>
  <r>
    <s v="Mum-TCL010"/>
    <x v="9"/>
    <x v="1"/>
    <x v="3"/>
    <x v="9"/>
    <x v="8"/>
    <x v="9"/>
    <x v="9"/>
    <n v="213"/>
    <n v="500"/>
    <n v="0.42599999999999999"/>
    <n v="0.57400000000000007"/>
  </r>
  <r>
    <s v="Mum-TCL011"/>
    <x v="10"/>
    <x v="2"/>
    <x v="9"/>
    <x v="10"/>
    <x v="9"/>
    <x v="5"/>
    <x v="10"/>
    <n v="219"/>
    <n v="500"/>
    <n v="0.438"/>
    <n v="0.56200000000000006"/>
  </r>
  <r>
    <s v="Mum-TCL012"/>
    <x v="11"/>
    <x v="3"/>
    <x v="10"/>
    <x v="3"/>
    <x v="10"/>
    <x v="10"/>
    <x v="11"/>
    <n v="376"/>
    <n v="500"/>
    <n v="0.752"/>
    <n v="0.248"/>
  </r>
  <r>
    <s v="Mum-TCL013"/>
    <x v="12"/>
    <x v="4"/>
    <x v="11"/>
    <x v="11"/>
    <x v="11"/>
    <x v="11"/>
    <x v="12"/>
    <n v="332"/>
    <n v="500"/>
    <n v="0.66400000000000003"/>
    <n v="0.33599999999999997"/>
  </r>
  <r>
    <s v="Mum-TCL014"/>
    <x v="13"/>
    <x v="5"/>
    <x v="12"/>
    <x v="12"/>
    <x v="12"/>
    <x v="12"/>
    <x v="13"/>
    <n v="288"/>
    <n v="500"/>
    <n v="0.57599999999999996"/>
    <n v="0.42400000000000004"/>
  </r>
  <r>
    <s v="Mum-TCL015"/>
    <x v="14"/>
    <x v="6"/>
    <x v="13"/>
    <x v="13"/>
    <x v="13"/>
    <x v="13"/>
    <x v="14"/>
    <n v="285"/>
    <n v="500"/>
    <n v="0.56999999999999995"/>
    <n v="0.43000000000000005"/>
  </r>
  <r>
    <s v="Mum-TCL016"/>
    <x v="15"/>
    <x v="7"/>
    <x v="14"/>
    <x v="14"/>
    <x v="14"/>
    <x v="14"/>
    <x v="15"/>
    <n v="199"/>
    <n v="500"/>
    <n v="0.39800000000000002"/>
    <n v="0.60199999999999998"/>
  </r>
  <r>
    <s v="Mum-TCL017"/>
    <x v="16"/>
    <x v="0"/>
    <x v="15"/>
    <x v="15"/>
    <x v="15"/>
    <x v="15"/>
    <x v="16"/>
    <n v="306"/>
    <n v="500"/>
    <n v="0.61199999999999999"/>
    <n v="0.38800000000000001"/>
  </r>
  <r>
    <s v="Mum-TCL018"/>
    <x v="17"/>
    <x v="1"/>
    <x v="16"/>
    <x v="16"/>
    <x v="16"/>
    <x v="16"/>
    <x v="15"/>
    <n v="291"/>
    <n v="500"/>
    <n v="0.58199999999999996"/>
    <n v="0.41800000000000004"/>
  </r>
  <r>
    <s v="Mum-TCL019"/>
    <x v="18"/>
    <x v="2"/>
    <x v="17"/>
    <x v="17"/>
    <x v="17"/>
    <x v="17"/>
    <x v="17"/>
    <n v="252"/>
    <n v="500"/>
    <n v="0.504"/>
    <n v="0.496"/>
  </r>
  <r>
    <s v="Mum-TCL020"/>
    <x v="19"/>
    <x v="3"/>
    <x v="18"/>
    <x v="0"/>
    <x v="3"/>
    <x v="18"/>
    <x v="18"/>
    <n v="253"/>
    <n v="500"/>
    <n v="0.50600000000000001"/>
    <n v="0.49399999999999999"/>
  </r>
  <r>
    <s v="Mum-TCL021"/>
    <x v="20"/>
    <x v="4"/>
    <x v="19"/>
    <x v="18"/>
    <x v="18"/>
    <x v="19"/>
    <x v="7"/>
    <n v="367"/>
    <n v="500"/>
    <n v="0.73399999999999999"/>
    <n v="0.26600000000000001"/>
  </r>
  <r>
    <s v="Mum-TCL022"/>
    <x v="21"/>
    <x v="5"/>
    <x v="20"/>
    <x v="10"/>
    <x v="19"/>
    <x v="20"/>
    <x v="19"/>
    <n v="301"/>
    <n v="500"/>
    <n v="0.60199999999999998"/>
    <n v="0.39800000000000002"/>
  </r>
  <r>
    <s v="Mum-TCL023"/>
    <x v="22"/>
    <x v="6"/>
    <x v="21"/>
    <x v="6"/>
    <x v="20"/>
    <x v="21"/>
    <x v="20"/>
    <n v="202"/>
    <n v="500"/>
    <n v="0.40400000000000003"/>
    <n v="0.59599999999999997"/>
  </r>
  <r>
    <s v="Mum-TCL024"/>
    <x v="23"/>
    <x v="7"/>
    <x v="22"/>
    <x v="19"/>
    <x v="21"/>
    <x v="22"/>
    <x v="21"/>
    <n v="183"/>
    <n v="500"/>
    <n v="0.36599999999999999"/>
    <n v="0.63400000000000001"/>
  </r>
  <r>
    <s v="Mum-TCL025"/>
    <x v="24"/>
    <x v="0"/>
    <x v="23"/>
    <x v="3"/>
    <x v="22"/>
    <x v="23"/>
    <x v="3"/>
    <n v="344"/>
    <n v="500"/>
    <n v="0.68799999999999994"/>
    <n v="0.31200000000000006"/>
  </r>
  <r>
    <s v="Mum-TCL026"/>
    <x v="25"/>
    <x v="1"/>
    <x v="24"/>
    <x v="20"/>
    <x v="23"/>
    <x v="19"/>
    <x v="22"/>
    <n v="276"/>
    <n v="500"/>
    <n v="0.55200000000000005"/>
    <n v="0.44799999999999995"/>
  </r>
  <r>
    <s v="Mum-TCL027"/>
    <x v="26"/>
    <x v="2"/>
    <x v="25"/>
    <x v="21"/>
    <x v="24"/>
    <x v="24"/>
    <x v="23"/>
    <n v="357"/>
    <n v="500"/>
    <n v="0.71399999999999997"/>
    <n v="0.28600000000000003"/>
  </r>
  <r>
    <s v="Mum-TCL028"/>
    <x v="27"/>
    <x v="3"/>
    <x v="26"/>
    <x v="22"/>
    <x v="25"/>
    <x v="25"/>
    <x v="24"/>
    <n v="324"/>
    <n v="500"/>
    <n v="0.64800000000000002"/>
    <n v="0.35199999999999998"/>
  </r>
  <r>
    <s v="Mum-TCL029"/>
    <x v="28"/>
    <x v="4"/>
    <x v="27"/>
    <x v="23"/>
    <x v="16"/>
    <x v="26"/>
    <x v="25"/>
    <n v="341"/>
    <n v="500"/>
    <n v="0.68200000000000005"/>
    <n v="0.31799999999999995"/>
  </r>
  <r>
    <s v="Mum-TCL030"/>
    <x v="29"/>
    <x v="5"/>
    <x v="12"/>
    <x v="16"/>
    <x v="26"/>
    <x v="8"/>
    <x v="26"/>
    <n v="353"/>
    <n v="500"/>
    <n v="0.70599999999999996"/>
    <n v="0.29400000000000004"/>
  </r>
  <r>
    <s v="Mum-TCL031"/>
    <x v="30"/>
    <x v="6"/>
    <x v="28"/>
    <x v="24"/>
    <x v="9"/>
    <x v="12"/>
    <x v="16"/>
    <n v="176"/>
    <n v="500"/>
    <n v="0.35199999999999998"/>
    <n v="0.64800000000000002"/>
  </r>
  <r>
    <s v="Mum-TCL032"/>
    <x v="31"/>
    <x v="7"/>
    <x v="15"/>
    <x v="25"/>
    <x v="8"/>
    <x v="27"/>
    <x v="27"/>
    <n v="230"/>
    <n v="500"/>
    <n v="0.46"/>
    <n v="0.54"/>
  </r>
  <r>
    <s v="Mum-TCL033"/>
    <x v="32"/>
    <x v="0"/>
    <x v="12"/>
    <x v="16"/>
    <x v="27"/>
    <x v="28"/>
    <x v="21"/>
    <n v="332"/>
    <n v="500"/>
    <n v="0.66400000000000003"/>
    <n v="0.33599999999999997"/>
  </r>
  <r>
    <s v="Mum-TCL034"/>
    <x v="33"/>
    <x v="1"/>
    <x v="6"/>
    <x v="26"/>
    <x v="28"/>
    <x v="29"/>
    <x v="28"/>
    <n v="223"/>
    <n v="500"/>
    <n v="0.44600000000000001"/>
    <n v="0.55400000000000005"/>
  </r>
  <r>
    <s v="Mum-TCL035"/>
    <x v="34"/>
    <x v="2"/>
    <x v="29"/>
    <x v="4"/>
    <x v="29"/>
    <x v="30"/>
    <x v="29"/>
    <n v="323"/>
    <n v="500"/>
    <n v="0.64600000000000002"/>
    <n v="0.35399999999999998"/>
  </r>
  <r>
    <s v="Mum-TCL036"/>
    <x v="35"/>
    <x v="3"/>
    <x v="23"/>
    <x v="27"/>
    <x v="8"/>
    <x v="31"/>
    <x v="30"/>
    <n v="214"/>
    <n v="500"/>
    <n v="0.42799999999999999"/>
    <n v="0.57200000000000006"/>
  </r>
  <r>
    <s v="Mum-TCL037"/>
    <x v="36"/>
    <x v="4"/>
    <x v="30"/>
    <x v="28"/>
    <x v="29"/>
    <x v="26"/>
    <x v="27"/>
    <n v="335"/>
    <n v="500"/>
    <n v="0.67"/>
    <n v="0.32999999999999996"/>
  </r>
  <r>
    <s v="Mum-TCL038"/>
    <x v="37"/>
    <x v="5"/>
    <x v="31"/>
    <x v="26"/>
    <x v="30"/>
    <x v="32"/>
    <x v="31"/>
    <n v="264"/>
    <n v="500"/>
    <n v="0.52800000000000002"/>
    <n v="0.47199999999999998"/>
  </r>
  <r>
    <s v="Mum-TCL039"/>
    <x v="38"/>
    <x v="6"/>
    <x v="32"/>
    <x v="29"/>
    <x v="2"/>
    <x v="33"/>
    <x v="20"/>
    <n v="274"/>
    <n v="500"/>
    <n v="0.54800000000000004"/>
    <n v="0.45199999999999996"/>
  </r>
  <r>
    <s v="Mum-TCL040"/>
    <x v="39"/>
    <x v="7"/>
    <x v="15"/>
    <x v="30"/>
    <x v="31"/>
    <x v="30"/>
    <x v="32"/>
    <n v="232"/>
    <n v="500"/>
    <n v="0.46400000000000002"/>
    <n v="0.53600000000000003"/>
  </r>
  <r>
    <s v="Mum-TCL041"/>
    <x v="40"/>
    <x v="0"/>
    <x v="24"/>
    <x v="16"/>
    <x v="32"/>
    <x v="34"/>
    <x v="33"/>
    <n v="207"/>
    <n v="500"/>
    <n v="0.41399999999999998"/>
    <n v="0.58600000000000008"/>
  </r>
  <r>
    <s v="Mum-TCL042"/>
    <x v="41"/>
    <x v="1"/>
    <x v="23"/>
    <x v="7"/>
    <x v="33"/>
    <x v="35"/>
    <x v="34"/>
    <n v="371"/>
    <n v="500"/>
    <n v="0.74199999999999999"/>
    <n v="0.25800000000000001"/>
  </r>
  <r>
    <s v="Mum-TCL043"/>
    <x v="42"/>
    <x v="2"/>
    <x v="5"/>
    <x v="19"/>
    <x v="34"/>
    <x v="36"/>
    <x v="35"/>
    <n v="206"/>
    <n v="500"/>
    <n v="0.41199999999999998"/>
    <n v="0.58800000000000008"/>
  </r>
  <r>
    <s v="Mum-TCL044"/>
    <x v="43"/>
    <x v="3"/>
    <x v="33"/>
    <x v="10"/>
    <x v="14"/>
    <x v="31"/>
    <x v="36"/>
    <n v="213"/>
    <n v="500"/>
    <n v="0.42599999999999999"/>
    <n v="0.57400000000000007"/>
  </r>
  <r>
    <s v="Mum-TCL045"/>
    <x v="44"/>
    <x v="4"/>
    <x v="34"/>
    <x v="31"/>
    <x v="35"/>
    <x v="35"/>
    <x v="37"/>
    <n v="285"/>
    <n v="500"/>
    <n v="0.56999999999999995"/>
    <n v="0.43000000000000005"/>
  </r>
  <r>
    <s v="Mum-TCL046"/>
    <x v="45"/>
    <x v="5"/>
    <x v="0"/>
    <x v="32"/>
    <x v="10"/>
    <x v="33"/>
    <x v="38"/>
    <n v="350"/>
    <n v="500"/>
    <n v="0.7"/>
    <n v="0.30000000000000004"/>
  </r>
  <r>
    <s v="Mum-TCL047"/>
    <x v="46"/>
    <x v="6"/>
    <x v="35"/>
    <x v="11"/>
    <x v="36"/>
    <x v="34"/>
    <x v="39"/>
    <n v="192"/>
    <n v="500"/>
    <n v="0.38400000000000001"/>
    <n v="0.61599999999999999"/>
  </r>
  <r>
    <s v="Mum-TCL048"/>
    <x v="47"/>
    <x v="7"/>
    <x v="33"/>
    <x v="33"/>
    <x v="33"/>
    <x v="8"/>
    <x v="22"/>
    <n v="233"/>
    <n v="500"/>
    <n v="0.46600000000000003"/>
    <n v="0.53400000000000003"/>
  </r>
  <r>
    <s v="Mum-TCL049"/>
    <x v="48"/>
    <x v="0"/>
    <x v="7"/>
    <x v="34"/>
    <x v="6"/>
    <x v="37"/>
    <x v="40"/>
    <n v="292"/>
    <n v="500"/>
    <n v="0.58399999999999996"/>
    <n v="0.41600000000000004"/>
  </r>
  <r>
    <s v="Mum-TCL050"/>
    <x v="49"/>
    <x v="1"/>
    <x v="35"/>
    <x v="0"/>
    <x v="37"/>
    <x v="27"/>
    <x v="41"/>
    <n v="340"/>
    <n v="500"/>
    <n v="0.68"/>
    <n v="0.31999999999999995"/>
  </r>
  <r>
    <s v="Mum-TCL051"/>
    <x v="50"/>
    <x v="2"/>
    <x v="3"/>
    <x v="35"/>
    <x v="38"/>
    <x v="38"/>
    <x v="42"/>
    <n v="270"/>
    <n v="500"/>
    <n v="0.54"/>
    <n v="0.45999999999999996"/>
  </r>
  <r>
    <s v="Mum-TCL052"/>
    <x v="51"/>
    <x v="3"/>
    <x v="27"/>
    <x v="36"/>
    <x v="39"/>
    <x v="12"/>
    <x v="43"/>
    <n v="249"/>
    <n v="500"/>
    <n v="0.498"/>
    <n v="0.502"/>
  </r>
  <r>
    <s v="Mum-TCL053"/>
    <x v="52"/>
    <x v="4"/>
    <x v="36"/>
    <x v="37"/>
    <x v="30"/>
    <x v="39"/>
    <x v="44"/>
    <n v="322"/>
    <n v="500"/>
    <n v="0.64400000000000002"/>
    <n v="0.35599999999999998"/>
  </r>
  <r>
    <s v="Mum-TCL054"/>
    <x v="53"/>
    <x v="5"/>
    <x v="37"/>
    <x v="38"/>
    <x v="35"/>
    <x v="40"/>
    <x v="6"/>
    <n v="189"/>
    <n v="500"/>
    <n v="0.378"/>
    <n v="0.622"/>
  </r>
  <r>
    <s v="Mum-TCL055"/>
    <x v="54"/>
    <x v="6"/>
    <x v="38"/>
    <x v="36"/>
    <x v="19"/>
    <x v="3"/>
    <x v="45"/>
    <n v="260"/>
    <n v="500"/>
    <n v="0.52"/>
    <n v="0.48"/>
  </r>
  <r>
    <s v="Mum-TCL056"/>
    <x v="55"/>
    <x v="7"/>
    <x v="39"/>
    <x v="39"/>
    <x v="40"/>
    <x v="41"/>
    <x v="46"/>
    <n v="192"/>
    <n v="500"/>
    <n v="0.38400000000000001"/>
    <n v="0.61599999999999999"/>
  </r>
  <r>
    <s v="Mum-TCL057"/>
    <x v="56"/>
    <x v="0"/>
    <x v="21"/>
    <x v="30"/>
    <x v="41"/>
    <x v="42"/>
    <x v="47"/>
    <n v="284"/>
    <n v="500"/>
    <n v="0.56799999999999995"/>
    <n v="0.43200000000000005"/>
  </r>
  <r>
    <s v="Mum-TCL058"/>
    <x v="57"/>
    <x v="1"/>
    <x v="40"/>
    <x v="7"/>
    <x v="12"/>
    <x v="18"/>
    <x v="48"/>
    <n v="292"/>
    <n v="500"/>
    <n v="0.58399999999999996"/>
    <n v="0.41600000000000004"/>
  </r>
  <r>
    <s v="Mum-TCL059"/>
    <x v="58"/>
    <x v="2"/>
    <x v="12"/>
    <x v="40"/>
    <x v="25"/>
    <x v="43"/>
    <x v="20"/>
    <n v="300"/>
    <n v="500"/>
    <n v="0.6"/>
    <n v="0.4"/>
  </r>
  <r>
    <s v="Mum-TCL060"/>
    <x v="59"/>
    <x v="3"/>
    <x v="41"/>
    <x v="41"/>
    <x v="42"/>
    <x v="44"/>
    <x v="30"/>
    <n v="264"/>
    <n v="500"/>
    <n v="0.52800000000000002"/>
    <n v="0.47199999999999998"/>
  </r>
  <r>
    <s v="Mum-TCL061"/>
    <x v="60"/>
    <x v="4"/>
    <x v="22"/>
    <x v="42"/>
    <x v="8"/>
    <x v="8"/>
    <x v="20"/>
    <n v="217"/>
    <n v="500"/>
    <n v="0.434"/>
    <n v="0.56600000000000006"/>
  </r>
  <r>
    <s v="Mum-TCL062"/>
    <x v="61"/>
    <x v="5"/>
    <x v="1"/>
    <x v="30"/>
    <x v="43"/>
    <x v="21"/>
    <x v="9"/>
    <n v="246"/>
    <n v="500"/>
    <n v="0.49199999999999999"/>
    <n v="0.50800000000000001"/>
  </r>
  <r>
    <s v="Mum-TCL063"/>
    <x v="62"/>
    <x v="6"/>
    <x v="42"/>
    <x v="43"/>
    <x v="35"/>
    <x v="16"/>
    <x v="22"/>
    <n v="267"/>
    <n v="500"/>
    <n v="0.53400000000000003"/>
    <n v="0.46599999999999997"/>
  </r>
  <r>
    <s v="Mum-TCL064"/>
    <x v="63"/>
    <x v="7"/>
    <x v="43"/>
    <x v="44"/>
    <x v="44"/>
    <x v="35"/>
    <x v="4"/>
    <n v="385"/>
    <n v="500"/>
    <n v="0.77"/>
    <n v="0.22999999999999998"/>
  </r>
  <r>
    <s v="Mum-TCL065"/>
    <x v="64"/>
    <x v="0"/>
    <x v="33"/>
    <x v="31"/>
    <x v="18"/>
    <x v="2"/>
    <x v="22"/>
    <n v="328"/>
    <n v="500"/>
    <n v="0.65600000000000003"/>
    <n v="0.34399999999999997"/>
  </r>
  <r>
    <s v="Mum-TCL066"/>
    <x v="65"/>
    <x v="1"/>
    <x v="1"/>
    <x v="35"/>
    <x v="11"/>
    <x v="18"/>
    <x v="32"/>
    <n v="166"/>
    <n v="500"/>
    <n v="0.33200000000000002"/>
    <n v="0.66799999999999993"/>
  </r>
  <r>
    <s v="Mum-TCL067"/>
    <x v="66"/>
    <x v="2"/>
    <x v="44"/>
    <x v="2"/>
    <x v="45"/>
    <x v="17"/>
    <x v="49"/>
    <n v="342"/>
    <n v="500"/>
    <n v="0.68400000000000005"/>
    <n v="0.31599999999999995"/>
  </r>
  <r>
    <s v="Mum-TCL068"/>
    <x v="67"/>
    <x v="3"/>
    <x v="32"/>
    <x v="9"/>
    <x v="23"/>
    <x v="45"/>
    <x v="1"/>
    <n v="293"/>
    <n v="500"/>
    <n v="0.58599999999999997"/>
    <n v="0.41400000000000003"/>
  </r>
  <r>
    <s v="Mum-TCL069"/>
    <x v="68"/>
    <x v="4"/>
    <x v="2"/>
    <x v="8"/>
    <x v="46"/>
    <x v="46"/>
    <x v="31"/>
    <n v="171"/>
    <n v="500"/>
    <n v="0.34200000000000003"/>
    <n v="0.65799999999999992"/>
  </r>
  <r>
    <s v="Mum-TCL070"/>
    <x v="69"/>
    <x v="5"/>
    <x v="45"/>
    <x v="8"/>
    <x v="47"/>
    <x v="43"/>
    <x v="50"/>
    <n v="229"/>
    <n v="500"/>
    <n v="0.45800000000000002"/>
    <n v="0.54200000000000004"/>
  </r>
  <r>
    <s v="Mum-TCL071"/>
    <x v="70"/>
    <x v="6"/>
    <x v="19"/>
    <x v="35"/>
    <x v="35"/>
    <x v="47"/>
    <x v="51"/>
    <n v="156"/>
    <n v="500"/>
    <n v="0.312"/>
    <n v="0.68799999999999994"/>
  </r>
  <r>
    <s v="Mum-TCL072"/>
    <x v="71"/>
    <x v="7"/>
    <x v="46"/>
    <x v="45"/>
    <x v="21"/>
    <x v="48"/>
    <x v="10"/>
    <n v="208"/>
    <n v="500"/>
    <n v="0.41599999999999998"/>
    <n v="0.58400000000000007"/>
  </r>
  <r>
    <s v="Mum-TCL073"/>
    <x v="72"/>
    <x v="0"/>
    <x v="47"/>
    <x v="46"/>
    <x v="45"/>
    <x v="49"/>
    <x v="25"/>
    <n v="143"/>
    <n v="500"/>
    <n v="0.28599999999999998"/>
    <n v="0.71399999999999997"/>
  </r>
  <r>
    <s v="Mum-TCL074"/>
    <x v="73"/>
    <x v="1"/>
    <x v="47"/>
    <x v="10"/>
    <x v="40"/>
    <x v="23"/>
    <x v="52"/>
    <n v="254"/>
    <n v="500"/>
    <n v="0.50800000000000001"/>
    <n v="0.49199999999999999"/>
  </r>
  <r>
    <s v="Mum-TCL075"/>
    <x v="74"/>
    <x v="2"/>
    <x v="48"/>
    <x v="7"/>
    <x v="14"/>
    <x v="50"/>
    <x v="0"/>
    <n v="224"/>
    <n v="500"/>
    <n v="0.44800000000000001"/>
    <n v="0.55200000000000005"/>
  </r>
  <r>
    <s v="Mum-TCL076"/>
    <x v="75"/>
    <x v="3"/>
    <x v="17"/>
    <x v="34"/>
    <x v="48"/>
    <x v="51"/>
    <x v="53"/>
    <n v="287"/>
    <n v="500"/>
    <n v="0.57399999999999995"/>
    <n v="0.42600000000000005"/>
  </r>
  <r>
    <s v="Mum-TCL077"/>
    <x v="76"/>
    <x v="4"/>
    <x v="49"/>
    <x v="47"/>
    <x v="39"/>
    <x v="0"/>
    <x v="23"/>
    <n v="286"/>
    <n v="500"/>
    <n v="0.57199999999999995"/>
    <n v="0.42800000000000005"/>
  </r>
  <r>
    <s v="Mum-TCL078"/>
    <x v="77"/>
    <x v="5"/>
    <x v="50"/>
    <x v="48"/>
    <x v="45"/>
    <x v="52"/>
    <x v="21"/>
    <n v="245"/>
    <n v="500"/>
    <n v="0.49"/>
    <n v="0.51"/>
  </r>
  <r>
    <s v="Mum-TCL079"/>
    <x v="78"/>
    <x v="6"/>
    <x v="22"/>
    <x v="32"/>
    <x v="39"/>
    <x v="53"/>
    <x v="15"/>
    <n v="281"/>
    <n v="500"/>
    <n v="0.56200000000000006"/>
    <n v="0.43799999999999994"/>
  </r>
  <r>
    <s v="Mum-TCL080"/>
    <x v="79"/>
    <x v="7"/>
    <x v="37"/>
    <x v="49"/>
    <x v="49"/>
    <x v="17"/>
    <x v="54"/>
    <n v="317"/>
    <n v="500"/>
    <n v="0.63400000000000001"/>
    <n v="0.36599999999999999"/>
  </r>
  <r>
    <s v="Mum-TCL081"/>
    <x v="80"/>
    <x v="0"/>
    <x v="51"/>
    <x v="50"/>
    <x v="14"/>
    <x v="3"/>
    <x v="55"/>
    <n v="351"/>
    <n v="500"/>
    <n v="0.70199999999999996"/>
    <n v="0.29800000000000004"/>
  </r>
  <r>
    <s v="Mum-TCL082"/>
    <x v="81"/>
    <x v="1"/>
    <x v="52"/>
    <x v="51"/>
    <x v="50"/>
    <x v="54"/>
    <x v="39"/>
    <n v="209"/>
    <n v="500"/>
    <n v="0.41799999999999998"/>
    <n v="0.58200000000000007"/>
  </r>
  <r>
    <s v="Mum-TCL083"/>
    <x v="82"/>
    <x v="2"/>
    <x v="53"/>
    <x v="49"/>
    <x v="17"/>
    <x v="9"/>
    <x v="36"/>
    <n v="290"/>
    <n v="500"/>
    <n v="0.57999999999999996"/>
    <n v="0.42000000000000004"/>
  </r>
  <r>
    <s v="Mum-TCL084"/>
    <x v="83"/>
    <x v="3"/>
    <x v="54"/>
    <x v="52"/>
    <x v="2"/>
    <x v="25"/>
    <x v="56"/>
    <n v="384"/>
    <n v="500"/>
    <n v="0.76800000000000002"/>
    <n v="0.23199999999999998"/>
  </r>
  <r>
    <s v="Mum-TCL085"/>
    <x v="84"/>
    <x v="4"/>
    <x v="55"/>
    <x v="21"/>
    <x v="51"/>
    <x v="6"/>
    <x v="57"/>
    <n v="349"/>
    <n v="500"/>
    <n v="0.69799999999999995"/>
    <n v="0.30200000000000005"/>
  </r>
  <r>
    <s v="Mum-TCL086"/>
    <x v="85"/>
    <x v="5"/>
    <x v="56"/>
    <x v="53"/>
    <x v="52"/>
    <x v="40"/>
    <x v="22"/>
    <n v="215"/>
    <n v="500"/>
    <n v="0.43"/>
    <n v="0.57000000000000006"/>
  </r>
  <r>
    <s v="Mum-TCL087"/>
    <x v="86"/>
    <x v="6"/>
    <x v="40"/>
    <x v="47"/>
    <x v="53"/>
    <x v="55"/>
    <x v="58"/>
    <n v="209"/>
    <n v="500"/>
    <n v="0.41799999999999998"/>
    <n v="0.58200000000000007"/>
  </r>
  <r>
    <s v="Mum-TCL088"/>
    <x v="87"/>
    <x v="7"/>
    <x v="46"/>
    <x v="2"/>
    <x v="54"/>
    <x v="56"/>
    <x v="59"/>
    <n v="306"/>
    <n v="500"/>
    <n v="0.61199999999999999"/>
    <n v="0.38800000000000001"/>
  </r>
  <r>
    <s v="Mum-TCL089"/>
    <x v="88"/>
    <x v="0"/>
    <x v="25"/>
    <x v="32"/>
    <x v="47"/>
    <x v="8"/>
    <x v="22"/>
    <n v="281"/>
    <n v="500"/>
    <n v="0.56200000000000006"/>
    <n v="0.43799999999999994"/>
  </r>
  <r>
    <s v="Mum-TCL090"/>
    <x v="89"/>
    <x v="1"/>
    <x v="16"/>
    <x v="15"/>
    <x v="4"/>
    <x v="57"/>
    <x v="60"/>
    <n v="318"/>
    <n v="500"/>
    <n v="0.63600000000000001"/>
    <n v="0.36399999999999999"/>
  </r>
  <r>
    <s v="Mum-TCL091"/>
    <x v="90"/>
    <x v="2"/>
    <x v="34"/>
    <x v="18"/>
    <x v="55"/>
    <x v="24"/>
    <x v="58"/>
    <n v="300"/>
    <n v="500"/>
    <n v="0.6"/>
    <n v="0.4"/>
  </r>
  <r>
    <s v="Mum-TCL092"/>
    <x v="91"/>
    <x v="3"/>
    <x v="18"/>
    <x v="54"/>
    <x v="6"/>
    <x v="16"/>
    <x v="25"/>
    <n v="281"/>
    <n v="500"/>
    <n v="0.56200000000000006"/>
    <n v="0.43799999999999994"/>
  </r>
  <r>
    <s v="Mum-TCL093"/>
    <x v="92"/>
    <x v="4"/>
    <x v="39"/>
    <x v="55"/>
    <x v="56"/>
    <x v="58"/>
    <x v="61"/>
    <n v="245"/>
    <n v="500"/>
    <n v="0.49"/>
    <n v="0.51"/>
  </r>
  <r>
    <s v="Mum-TCL094"/>
    <x v="93"/>
    <x v="5"/>
    <x v="57"/>
    <x v="38"/>
    <x v="56"/>
    <x v="41"/>
    <x v="47"/>
    <n v="205"/>
    <n v="500"/>
    <n v="0.41"/>
    <n v="0.59000000000000008"/>
  </r>
  <r>
    <s v="Mum-TCL095"/>
    <x v="94"/>
    <x v="6"/>
    <x v="15"/>
    <x v="30"/>
    <x v="57"/>
    <x v="59"/>
    <x v="62"/>
    <n v="234"/>
    <n v="500"/>
    <n v="0.46800000000000003"/>
    <n v="0.53200000000000003"/>
  </r>
  <r>
    <s v="Mum-TCL096"/>
    <x v="95"/>
    <x v="7"/>
    <x v="4"/>
    <x v="2"/>
    <x v="27"/>
    <x v="26"/>
    <x v="63"/>
    <n v="232"/>
    <n v="500"/>
    <n v="0.46400000000000002"/>
    <n v="0.53600000000000003"/>
  </r>
  <r>
    <s v="Mum-TCL097"/>
    <x v="96"/>
    <x v="0"/>
    <x v="58"/>
    <x v="56"/>
    <x v="42"/>
    <x v="26"/>
    <x v="64"/>
    <n v="245"/>
    <n v="500"/>
    <n v="0.49"/>
    <n v="0.51"/>
  </r>
  <r>
    <s v="Mum-TCL098"/>
    <x v="97"/>
    <x v="1"/>
    <x v="37"/>
    <x v="49"/>
    <x v="58"/>
    <x v="60"/>
    <x v="64"/>
    <n v="286"/>
    <n v="500"/>
    <n v="0.57199999999999995"/>
    <n v="0.42800000000000005"/>
  </r>
  <r>
    <s v="Mum-TCL099"/>
    <x v="98"/>
    <x v="2"/>
    <x v="35"/>
    <x v="7"/>
    <x v="59"/>
    <x v="58"/>
    <x v="65"/>
    <n v="303"/>
    <n v="500"/>
    <n v="0.60599999999999998"/>
    <n v="0.39400000000000002"/>
  </r>
  <r>
    <s v="Mum-TCL100"/>
    <x v="99"/>
    <x v="3"/>
    <x v="59"/>
    <x v="57"/>
    <x v="53"/>
    <x v="61"/>
    <x v="29"/>
    <n v="318"/>
    <n v="500"/>
    <n v="0.63600000000000001"/>
    <n v="0.36399999999999999"/>
  </r>
  <r>
    <s v="Mum-TCL101"/>
    <x v="100"/>
    <x v="4"/>
    <x v="0"/>
    <x v="12"/>
    <x v="21"/>
    <x v="60"/>
    <x v="66"/>
    <n v="268"/>
    <n v="500"/>
    <n v="0.53600000000000003"/>
    <n v="0.46399999999999997"/>
  </r>
  <r>
    <s v="Mum-TCL102"/>
    <x v="101"/>
    <x v="5"/>
    <x v="54"/>
    <x v="11"/>
    <x v="8"/>
    <x v="3"/>
    <x v="52"/>
    <n v="322"/>
    <n v="500"/>
    <n v="0.64400000000000002"/>
    <n v="0.35599999999999998"/>
  </r>
  <r>
    <s v="Mum-TCL103"/>
    <x v="102"/>
    <x v="6"/>
    <x v="60"/>
    <x v="38"/>
    <x v="28"/>
    <x v="62"/>
    <x v="17"/>
    <n v="220"/>
    <n v="500"/>
    <n v="0.44"/>
    <n v="0.56000000000000005"/>
  </r>
  <r>
    <s v="Mum-TCL104"/>
    <x v="103"/>
    <x v="7"/>
    <x v="5"/>
    <x v="28"/>
    <x v="26"/>
    <x v="63"/>
    <x v="54"/>
    <n v="306"/>
    <n v="500"/>
    <n v="0.61199999999999999"/>
    <n v="0.38800000000000001"/>
  </r>
  <r>
    <s v="Mum-TCL105"/>
    <x v="104"/>
    <x v="0"/>
    <x v="36"/>
    <x v="58"/>
    <x v="60"/>
    <x v="17"/>
    <x v="67"/>
    <n v="351"/>
    <n v="500"/>
    <n v="0.70199999999999996"/>
    <n v="0.29800000000000004"/>
  </r>
  <r>
    <s v="Mum-TCL106"/>
    <x v="105"/>
    <x v="1"/>
    <x v="61"/>
    <x v="18"/>
    <x v="13"/>
    <x v="64"/>
    <x v="32"/>
    <n v="228"/>
    <n v="500"/>
    <n v="0.45600000000000002"/>
    <n v="0.54400000000000004"/>
  </r>
  <r>
    <s v="Mum-TCL107"/>
    <x v="106"/>
    <x v="2"/>
    <x v="61"/>
    <x v="59"/>
    <x v="7"/>
    <x v="11"/>
    <x v="11"/>
    <n v="374"/>
    <n v="500"/>
    <n v="0.748"/>
    <n v="0.252"/>
  </r>
  <r>
    <s v="Mum-TCL108"/>
    <x v="107"/>
    <x v="3"/>
    <x v="43"/>
    <x v="60"/>
    <x v="46"/>
    <x v="4"/>
    <x v="32"/>
    <n v="211"/>
    <n v="500"/>
    <n v="0.42199999999999999"/>
    <n v="0.57800000000000007"/>
  </r>
  <r>
    <s v="Mum-TCL109"/>
    <x v="108"/>
    <x v="4"/>
    <x v="62"/>
    <x v="5"/>
    <x v="28"/>
    <x v="56"/>
    <x v="54"/>
    <n v="236"/>
    <n v="500"/>
    <n v="0.47199999999999998"/>
    <n v="0.52800000000000002"/>
  </r>
  <r>
    <s v="Mum-TCL110"/>
    <x v="109"/>
    <x v="5"/>
    <x v="12"/>
    <x v="61"/>
    <x v="61"/>
    <x v="43"/>
    <x v="61"/>
    <n v="355"/>
    <n v="500"/>
    <n v="0.71"/>
    <n v="0.29000000000000004"/>
  </r>
  <r>
    <s v="Mum-TCL111"/>
    <x v="110"/>
    <x v="6"/>
    <x v="55"/>
    <x v="9"/>
    <x v="39"/>
    <x v="39"/>
    <x v="33"/>
    <n v="320"/>
    <n v="500"/>
    <n v="0.64"/>
    <n v="0.36"/>
  </r>
  <r>
    <s v="Mum-TCL112"/>
    <x v="111"/>
    <x v="7"/>
    <x v="18"/>
    <x v="45"/>
    <x v="62"/>
    <x v="65"/>
    <x v="40"/>
    <n v="389"/>
    <n v="500"/>
    <n v="0.77800000000000002"/>
    <n v="0.22199999999999998"/>
  </r>
  <r>
    <s v="Mum-TCL113"/>
    <x v="112"/>
    <x v="0"/>
    <x v="42"/>
    <x v="11"/>
    <x v="63"/>
    <x v="34"/>
    <x v="11"/>
    <n v="311"/>
    <n v="500"/>
    <n v="0.622"/>
    <n v="0.378"/>
  </r>
  <r>
    <s v="Mum-TCL114"/>
    <x v="113"/>
    <x v="1"/>
    <x v="44"/>
    <x v="47"/>
    <x v="11"/>
    <x v="53"/>
    <x v="68"/>
    <n v="243"/>
    <n v="500"/>
    <n v="0.48599999999999999"/>
    <n v="0.51400000000000001"/>
  </r>
  <r>
    <s v="Mum-TCL115"/>
    <x v="114"/>
    <x v="2"/>
    <x v="2"/>
    <x v="57"/>
    <x v="64"/>
    <x v="22"/>
    <x v="20"/>
    <n v="214"/>
    <n v="500"/>
    <n v="0.42799999999999999"/>
    <n v="0.57200000000000006"/>
  </r>
  <r>
    <s v="Mum-TCL116"/>
    <x v="115"/>
    <x v="3"/>
    <x v="51"/>
    <x v="54"/>
    <x v="27"/>
    <x v="56"/>
    <x v="69"/>
    <n v="283"/>
    <n v="500"/>
    <n v="0.56599999999999995"/>
    <n v="0.43400000000000005"/>
  </r>
  <r>
    <s v="Mum-TCL117"/>
    <x v="116"/>
    <x v="4"/>
    <x v="63"/>
    <x v="62"/>
    <x v="27"/>
    <x v="66"/>
    <x v="32"/>
    <n v="166"/>
    <n v="500"/>
    <n v="0.33200000000000002"/>
    <n v="0.66799999999999993"/>
  </r>
  <r>
    <s v="Mum-TCL118"/>
    <x v="117"/>
    <x v="5"/>
    <x v="63"/>
    <x v="63"/>
    <x v="44"/>
    <x v="67"/>
    <x v="22"/>
    <n v="280"/>
    <n v="500"/>
    <n v="0.56000000000000005"/>
    <n v="0.43999999999999995"/>
  </r>
  <r>
    <s v="Mum-TCL119"/>
    <x v="118"/>
    <x v="6"/>
    <x v="18"/>
    <x v="46"/>
    <x v="65"/>
    <x v="41"/>
    <x v="32"/>
    <n v="258"/>
    <n v="500"/>
    <n v="0.51600000000000001"/>
    <n v="0.48399999999999999"/>
  </r>
  <r>
    <s v="Mum-TCL120"/>
    <x v="119"/>
    <x v="7"/>
    <x v="27"/>
    <x v="64"/>
    <x v="19"/>
    <x v="68"/>
    <x v="70"/>
    <n v="316"/>
    <n v="500"/>
    <n v="0.63200000000000001"/>
    <n v="0.36799999999999999"/>
  </r>
  <r>
    <s v="Mum-TCL121"/>
    <x v="120"/>
    <x v="0"/>
    <x v="30"/>
    <x v="22"/>
    <x v="32"/>
    <x v="32"/>
    <x v="54"/>
    <n v="300"/>
    <n v="500"/>
    <n v="0.6"/>
    <n v="0.4"/>
  </r>
  <r>
    <s v="Mum-TCL122"/>
    <x v="121"/>
    <x v="1"/>
    <x v="64"/>
    <x v="50"/>
    <x v="14"/>
    <x v="14"/>
    <x v="71"/>
    <n v="327"/>
    <n v="500"/>
    <n v="0.65400000000000003"/>
    <n v="0.34599999999999997"/>
  </r>
  <r>
    <s v="Mum-TCL123"/>
    <x v="122"/>
    <x v="2"/>
    <x v="65"/>
    <x v="49"/>
    <x v="66"/>
    <x v="59"/>
    <x v="28"/>
    <n v="224"/>
    <n v="500"/>
    <n v="0.44800000000000001"/>
    <n v="0.55200000000000005"/>
  </r>
  <r>
    <s v="Mum-TCL124"/>
    <x v="123"/>
    <x v="3"/>
    <x v="63"/>
    <x v="33"/>
    <x v="64"/>
    <x v="69"/>
    <x v="48"/>
    <n v="245"/>
    <n v="500"/>
    <n v="0.49"/>
    <n v="0.51"/>
  </r>
  <r>
    <s v="Mum-TCL125"/>
    <x v="124"/>
    <x v="4"/>
    <x v="58"/>
    <x v="41"/>
    <x v="67"/>
    <x v="15"/>
    <x v="72"/>
    <n v="302"/>
    <n v="500"/>
    <n v="0.60399999999999998"/>
    <n v="0.39600000000000002"/>
  </r>
  <r>
    <s v="Mum-TCL126"/>
    <x v="125"/>
    <x v="5"/>
    <x v="47"/>
    <x v="24"/>
    <x v="19"/>
    <x v="14"/>
    <x v="1"/>
    <n v="273"/>
    <n v="500"/>
    <n v="0.54600000000000004"/>
    <n v="0.45399999999999996"/>
  </r>
  <r>
    <s v="Mum-TCL127"/>
    <x v="126"/>
    <x v="6"/>
    <x v="66"/>
    <x v="64"/>
    <x v="61"/>
    <x v="36"/>
    <x v="38"/>
    <n v="322"/>
    <n v="500"/>
    <n v="0.64400000000000002"/>
    <n v="0.35599999999999998"/>
  </r>
  <r>
    <s v="Mum-TCL128"/>
    <x v="127"/>
    <x v="7"/>
    <x v="67"/>
    <x v="65"/>
    <x v="8"/>
    <x v="51"/>
    <x v="63"/>
    <n v="183"/>
    <n v="500"/>
    <n v="0.36599999999999999"/>
    <n v="0.63400000000000001"/>
  </r>
  <r>
    <s v="Mum-TCL129"/>
    <x v="128"/>
    <x v="0"/>
    <x v="63"/>
    <x v="1"/>
    <x v="67"/>
    <x v="43"/>
    <x v="9"/>
    <n v="306"/>
    <n v="500"/>
    <n v="0.61199999999999999"/>
    <n v="0.38800000000000001"/>
  </r>
  <r>
    <s v="Mum-TCL130"/>
    <x v="129"/>
    <x v="1"/>
    <x v="54"/>
    <x v="66"/>
    <x v="33"/>
    <x v="24"/>
    <x v="73"/>
    <n v="307"/>
    <n v="500"/>
    <n v="0.61399999999999999"/>
    <n v="0.38600000000000001"/>
  </r>
  <r>
    <s v="Mum-TCL131"/>
    <x v="130"/>
    <x v="2"/>
    <x v="68"/>
    <x v="2"/>
    <x v="26"/>
    <x v="36"/>
    <x v="53"/>
    <n v="355"/>
    <n v="500"/>
    <n v="0.71"/>
    <n v="0.29000000000000004"/>
  </r>
  <r>
    <s v="Mum-TCL132"/>
    <x v="131"/>
    <x v="3"/>
    <x v="51"/>
    <x v="67"/>
    <x v="25"/>
    <x v="9"/>
    <x v="4"/>
    <n v="264"/>
    <n v="500"/>
    <n v="0.52800000000000002"/>
    <n v="0.47199999999999998"/>
  </r>
  <r>
    <s v="Mum-TCL133"/>
    <x v="132"/>
    <x v="4"/>
    <x v="5"/>
    <x v="30"/>
    <x v="52"/>
    <x v="70"/>
    <x v="40"/>
    <n v="346"/>
    <n v="500"/>
    <n v="0.69199999999999995"/>
    <n v="0.30800000000000005"/>
  </r>
  <r>
    <s v="Mum-TCL134"/>
    <x v="133"/>
    <x v="5"/>
    <x v="19"/>
    <x v="63"/>
    <x v="36"/>
    <x v="38"/>
    <x v="45"/>
    <n v="217"/>
    <n v="500"/>
    <n v="0.434"/>
    <n v="0.56600000000000006"/>
  </r>
  <r>
    <s v="Mum-TCL135"/>
    <x v="134"/>
    <x v="6"/>
    <x v="27"/>
    <x v="17"/>
    <x v="35"/>
    <x v="71"/>
    <x v="44"/>
    <n v="271"/>
    <n v="500"/>
    <n v="0.54200000000000004"/>
    <n v="0.45799999999999996"/>
  </r>
  <r>
    <s v="Mum-TCL136"/>
    <x v="135"/>
    <x v="7"/>
    <x v="30"/>
    <x v="67"/>
    <x v="52"/>
    <x v="26"/>
    <x v="12"/>
    <n v="316"/>
    <n v="500"/>
    <n v="0.63200000000000001"/>
    <n v="0.36799999999999999"/>
  </r>
  <r>
    <s v="Mum-TCL137"/>
    <x v="136"/>
    <x v="0"/>
    <x v="7"/>
    <x v="36"/>
    <x v="4"/>
    <x v="72"/>
    <x v="74"/>
    <n v="288"/>
    <n v="500"/>
    <n v="0.57599999999999996"/>
    <n v="0.42400000000000004"/>
  </r>
  <r>
    <s v="Mum-TCL138"/>
    <x v="137"/>
    <x v="1"/>
    <x v="25"/>
    <x v="51"/>
    <x v="65"/>
    <x v="3"/>
    <x v="59"/>
    <n v="382"/>
    <n v="500"/>
    <n v="0.76400000000000001"/>
    <n v="0.23599999999999999"/>
  </r>
  <r>
    <s v="Mum-TCL139"/>
    <x v="138"/>
    <x v="2"/>
    <x v="69"/>
    <x v="68"/>
    <x v="33"/>
    <x v="4"/>
    <x v="68"/>
    <n v="316"/>
    <n v="500"/>
    <n v="0.63200000000000001"/>
    <n v="0.36799999999999999"/>
  </r>
  <r>
    <s v="Mum-TCL140"/>
    <x v="139"/>
    <x v="3"/>
    <x v="53"/>
    <x v="69"/>
    <x v="34"/>
    <x v="17"/>
    <x v="54"/>
    <n v="316"/>
    <n v="500"/>
    <n v="0.63200000000000001"/>
    <n v="0.36799999999999999"/>
  </r>
  <r>
    <s v="Mum-TCL141"/>
    <x v="140"/>
    <x v="4"/>
    <x v="56"/>
    <x v="9"/>
    <x v="68"/>
    <x v="0"/>
    <x v="75"/>
    <n v="286"/>
    <n v="500"/>
    <n v="0.57199999999999995"/>
    <n v="0.42800000000000005"/>
  </r>
  <r>
    <m/>
    <x v="141"/>
    <x v="8"/>
    <x v="70"/>
    <x v="70"/>
    <x v="69"/>
    <x v="73"/>
    <x v="76"/>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5"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46"/>
    </i>
    <i>
      <x v="54"/>
    </i>
    <i>
      <x v="70"/>
    </i>
    <i>
      <x v="103"/>
    </i>
    <i>
      <x v="135"/>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5"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8"/>
    </i>
    <i>
      <x v="62"/>
    </i>
    <i>
      <x v="82"/>
    </i>
    <i>
      <x v="111"/>
    </i>
    <i>
      <x v="119"/>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5"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46"/>
    </i>
    <i>
      <x v="54"/>
    </i>
    <i>
      <x v="70"/>
    </i>
    <i>
      <x v="103"/>
    </i>
    <i>
      <x v="135"/>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8"/>
    </i>
    <i>
      <x v="62"/>
    </i>
    <i>
      <x v="82"/>
    </i>
    <i>
      <x v="111"/>
    </i>
    <i>
      <x v="11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PivotTable22" cacheId="1" applyNumberFormats="0" applyBorderFormats="0" applyFontFormats="0" applyPatternFormats="0" applyAlignmentFormats="0" applyWidthHeightFormats="1" dataCaption="Values" updatedVersion="5" minRefreshableVersion="3" rowGrandTotals="0" colGrandTotals="0" itemPrintTitles="1" createdVersion="5" indent="0" outline="1" outlineData="1" multipleFieldFilters="0" chartFormat="1">
  <location ref="A3:B8" firstHeaderRow="1" firstDataRow="1" firstDataCol="1"/>
  <pivotFields count="12">
    <pivotField showAll="0"/>
    <pivotField axis="axisRow" showAll="0" measureFilter="1">
      <items count="143">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x="141"/>
        <item t="default"/>
      </items>
    </pivotField>
    <pivotField showAll="0">
      <items count="10">
        <item h="1" x="3"/>
        <item h="1" x="1"/>
        <item h="1" x="0"/>
        <item h="1" x="2"/>
        <item x="5"/>
        <item h="1" x="4"/>
        <item h="1" x="6"/>
        <item h="1" x="7"/>
        <item h="1" x="8"/>
        <item t="default"/>
      </items>
    </pivotField>
    <pivotField showAll="0">
      <items count="72">
        <item x="28"/>
        <item x="16"/>
        <item x="48"/>
        <item x="14"/>
        <item x="38"/>
        <item x="24"/>
        <item x="35"/>
        <item x="39"/>
        <item x="17"/>
        <item x="64"/>
        <item x="37"/>
        <item x="62"/>
        <item x="65"/>
        <item x="63"/>
        <item x="26"/>
        <item x="58"/>
        <item x="46"/>
        <item x="40"/>
        <item x="4"/>
        <item x="15"/>
        <item x="55"/>
        <item x="22"/>
        <item x="47"/>
        <item x="67"/>
        <item x="42"/>
        <item x="1"/>
        <item x="2"/>
        <item x="56"/>
        <item x="23"/>
        <item x="52"/>
        <item x="0"/>
        <item x="50"/>
        <item x="45"/>
        <item x="3"/>
        <item x="8"/>
        <item x="60"/>
        <item x="21"/>
        <item x="66"/>
        <item x="61"/>
        <item x="9"/>
        <item x="27"/>
        <item x="31"/>
        <item x="19"/>
        <item x="32"/>
        <item x="51"/>
        <item x="25"/>
        <item x="7"/>
        <item x="33"/>
        <item x="43"/>
        <item x="41"/>
        <item x="53"/>
        <item x="13"/>
        <item x="10"/>
        <item x="34"/>
        <item x="54"/>
        <item x="29"/>
        <item x="12"/>
        <item x="6"/>
        <item x="69"/>
        <item x="5"/>
        <item x="44"/>
        <item x="36"/>
        <item x="68"/>
        <item x="30"/>
        <item x="59"/>
        <item x="18"/>
        <item x="11"/>
        <item x="57"/>
        <item x="49"/>
        <item x="20"/>
        <item x="70"/>
        <item t="default"/>
      </items>
    </pivotField>
    <pivotField showAll="0">
      <items count="72">
        <item x="46"/>
        <item x="40"/>
        <item x="28"/>
        <item x="38"/>
        <item x="47"/>
        <item x="33"/>
        <item x="10"/>
        <item x="29"/>
        <item x="53"/>
        <item x="67"/>
        <item x="19"/>
        <item x="27"/>
        <item x="65"/>
        <item x="14"/>
        <item x="8"/>
        <item x="6"/>
        <item x="25"/>
        <item x="5"/>
        <item x="17"/>
        <item x="39"/>
        <item x="35"/>
        <item x="22"/>
        <item x="37"/>
        <item x="54"/>
        <item x="68"/>
        <item x="48"/>
        <item x="57"/>
        <item x="16"/>
        <item x="56"/>
        <item x="51"/>
        <item x="31"/>
        <item x="9"/>
        <item x="60"/>
        <item x="4"/>
        <item x="41"/>
        <item x="13"/>
        <item x="26"/>
        <item x="30"/>
        <item x="63"/>
        <item x="61"/>
        <item x="52"/>
        <item x="62"/>
        <item x="24"/>
        <item x="36"/>
        <item x="66"/>
        <item x="15"/>
        <item x="42"/>
        <item x="20"/>
        <item x="34"/>
        <item x="18"/>
        <item x="45"/>
        <item x="44"/>
        <item x="12"/>
        <item x="43"/>
        <item x="2"/>
        <item x="55"/>
        <item x="69"/>
        <item x="32"/>
        <item x="49"/>
        <item x="0"/>
        <item x="1"/>
        <item x="21"/>
        <item x="11"/>
        <item x="23"/>
        <item x="59"/>
        <item x="64"/>
        <item x="50"/>
        <item x="58"/>
        <item x="7"/>
        <item x="3"/>
        <item x="70"/>
        <item t="default"/>
      </items>
    </pivotField>
    <pivotField showAll="0">
      <items count="71">
        <item x="34"/>
        <item x="11"/>
        <item x="36"/>
        <item x="3"/>
        <item x="35"/>
        <item x="60"/>
        <item x="27"/>
        <item x="21"/>
        <item x="8"/>
        <item x="56"/>
        <item x="55"/>
        <item x="5"/>
        <item x="30"/>
        <item x="66"/>
        <item x="46"/>
        <item x="20"/>
        <item x="61"/>
        <item x="32"/>
        <item x="13"/>
        <item x="63"/>
        <item x="6"/>
        <item x="9"/>
        <item x="28"/>
        <item x="41"/>
        <item x="53"/>
        <item x="31"/>
        <item x="14"/>
        <item x="45"/>
        <item x="1"/>
        <item x="19"/>
        <item x="4"/>
        <item x="57"/>
        <item x="7"/>
        <item x="42"/>
        <item x="68"/>
        <item x="47"/>
        <item x="52"/>
        <item x="64"/>
        <item x="51"/>
        <item x="49"/>
        <item x="17"/>
        <item x="54"/>
        <item x="12"/>
        <item x="50"/>
        <item x="25"/>
        <item x="43"/>
        <item x="39"/>
        <item x="33"/>
        <item x="67"/>
        <item x="29"/>
        <item x="23"/>
        <item x="59"/>
        <item x="40"/>
        <item x="38"/>
        <item x="62"/>
        <item x="58"/>
        <item x="48"/>
        <item x="2"/>
        <item x="44"/>
        <item x="37"/>
        <item x="16"/>
        <item x="24"/>
        <item x="65"/>
        <item x="22"/>
        <item x="10"/>
        <item x="15"/>
        <item x="18"/>
        <item x="0"/>
        <item x="26"/>
        <item x="69"/>
        <item t="default"/>
      </items>
    </pivotField>
    <pivotField showAll="0">
      <items count="75">
        <item x="22"/>
        <item x="10"/>
        <item x="52"/>
        <item x="46"/>
        <item x="1"/>
        <item x="44"/>
        <item x="29"/>
        <item x="37"/>
        <item x="47"/>
        <item x="12"/>
        <item x="54"/>
        <item x="7"/>
        <item x="63"/>
        <item x="4"/>
        <item x="66"/>
        <item x="50"/>
        <item x="64"/>
        <item x="41"/>
        <item x="58"/>
        <item x="48"/>
        <item x="21"/>
        <item x="49"/>
        <item x="8"/>
        <item x="62"/>
        <item x="38"/>
        <item x="53"/>
        <item x="45"/>
        <item x="20"/>
        <item x="18"/>
        <item x="33"/>
        <item x="65"/>
        <item x="5"/>
        <item x="70"/>
        <item x="9"/>
        <item x="34"/>
        <item x="32"/>
        <item x="72"/>
        <item x="56"/>
        <item x="40"/>
        <item x="36"/>
        <item x="30"/>
        <item x="55"/>
        <item x="31"/>
        <item x="17"/>
        <item x="15"/>
        <item x="0"/>
        <item x="59"/>
        <item x="60"/>
        <item x="14"/>
        <item x="67"/>
        <item x="24"/>
        <item x="2"/>
        <item x="23"/>
        <item x="19"/>
        <item x="27"/>
        <item x="11"/>
        <item x="6"/>
        <item x="42"/>
        <item x="51"/>
        <item x="43"/>
        <item x="13"/>
        <item x="26"/>
        <item x="71"/>
        <item x="25"/>
        <item x="57"/>
        <item x="61"/>
        <item x="69"/>
        <item x="28"/>
        <item x="3"/>
        <item x="68"/>
        <item x="35"/>
        <item x="16"/>
        <item x="39"/>
        <item x="73"/>
        <item t="default"/>
      </items>
    </pivotField>
    <pivotField showAll="0">
      <items count="78">
        <item x="25"/>
        <item x="50"/>
        <item x="73"/>
        <item x="36"/>
        <item x="70"/>
        <item x="63"/>
        <item x="51"/>
        <item x="18"/>
        <item x="62"/>
        <item x="8"/>
        <item x="39"/>
        <item x="28"/>
        <item x="43"/>
        <item x="64"/>
        <item x="46"/>
        <item x="53"/>
        <item x="35"/>
        <item x="3"/>
        <item x="32"/>
        <item x="14"/>
        <item x="22"/>
        <item x="23"/>
        <item x="45"/>
        <item x="9"/>
        <item x="16"/>
        <item x="52"/>
        <item x="13"/>
        <item x="0"/>
        <item x="37"/>
        <item x="74"/>
        <item x="47"/>
        <item x="15"/>
        <item x="55"/>
        <item x="29"/>
        <item x="1"/>
        <item x="4"/>
        <item x="48"/>
        <item x="10"/>
        <item x="20"/>
        <item x="7"/>
        <item x="58"/>
        <item x="66"/>
        <item x="34"/>
        <item x="42"/>
        <item x="33"/>
        <item x="31"/>
        <item x="12"/>
        <item x="30"/>
        <item x="56"/>
        <item x="75"/>
        <item x="49"/>
        <item x="27"/>
        <item x="17"/>
        <item x="44"/>
        <item x="41"/>
        <item x="59"/>
        <item x="72"/>
        <item x="65"/>
        <item x="5"/>
        <item x="38"/>
        <item x="6"/>
        <item x="57"/>
        <item x="54"/>
        <item x="67"/>
        <item x="68"/>
        <item x="26"/>
        <item x="40"/>
        <item x="11"/>
        <item x="21"/>
        <item x="19"/>
        <item x="2"/>
        <item x="61"/>
        <item x="69"/>
        <item x="24"/>
        <item x="71"/>
        <item x="60"/>
        <item x="76"/>
        <item t="default"/>
      </items>
    </pivotField>
    <pivotField dataField="1" showAll="0"/>
    <pivotField showAll="0"/>
    <pivotField showAll="0"/>
    <pivotField showAll="0"/>
  </pivotFields>
  <rowFields count="1">
    <field x="1"/>
  </rowFields>
  <rowItems count="5">
    <i>
      <x v="3"/>
    </i>
    <i>
      <x v="15"/>
    </i>
    <i>
      <x v="31"/>
    </i>
    <i>
      <x v="59"/>
    </i>
    <i>
      <x v="79"/>
    </i>
  </rowItems>
  <colItems count="1">
    <i/>
  </colItems>
  <dataFields count="1">
    <dataField name="Sum of Total Sales" fld="8" baseField="1" baseItem="0"/>
  </dataFields>
  <chartFormats count="1">
    <chartFormat chart="0" format="0" series="1">
      <pivotArea type="data" outline="0" fieldPosition="0">
        <references count="1">
          <reference field="4294967294" count="1" selected="0">
            <x v="0"/>
          </reference>
        </references>
      </pivotArea>
    </chartFormat>
  </chartFormats>
  <pivotTableStyleInfo name="PivotStyleMedium19" showRowHeaders="1" showColHeaders="1" showRowStripes="0" showColStripes="0" showLastColumn="1"/>
  <filters count="1">
    <filter fld="1" type="count" evalOrder="-1" id="6"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25" cacheId="1" applyNumberFormats="0" applyBorderFormats="0" applyFontFormats="0" applyPatternFormats="0" applyAlignmentFormats="0" applyWidthHeightFormats="1" dataCaption="Values" updatedVersion="5" minRefreshableVersion="3" rowGrandTotals="0" colGrandTotals="0" itemPrintTitles="1" createdVersion="5" indent="0" outline="1" outlineData="1" multipleFieldFilters="0" chartFormat="1">
  <location ref="J3:K8" firstHeaderRow="1" firstDataRow="1" firstDataCol="1"/>
  <pivotFields count="12">
    <pivotField showAll="0"/>
    <pivotField axis="axisRow" showAll="0" measureFilter="1">
      <items count="143">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x="141"/>
        <item t="default"/>
      </items>
    </pivotField>
    <pivotField showAll="0">
      <items count="10">
        <item h="1" x="3"/>
        <item h="1" x="1"/>
        <item x="0"/>
        <item h="1" x="2"/>
        <item h="1" x="5"/>
        <item h="1" x="4"/>
        <item h="1" x="6"/>
        <item h="1" x="7"/>
        <item h="1" x="8"/>
        <item t="default"/>
      </items>
    </pivotField>
    <pivotField showAll="0"/>
    <pivotField showAll="0"/>
    <pivotField showAll="0"/>
    <pivotField showAll="0"/>
    <pivotField showAll="0"/>
    <pivotField showAll="0"/>
    <pivotField showAll="0"/>
    <pivotField dataField="1" showAll="0"/>
    <pivotField showAll="0"/>
  </pivotFields>
  <rowFields count="1">
    <field x="1"/>
  </rowFields>
  <rowItems count="5">
    <i>
      <x v="26"/>
    </i>
    <i>
      <x v="70"/>
    </i>
    <i>
      <x v="72"/>
    </i>
    <i>
      <x v="77"/>
    </i>
    <i>
      <x v="141"/>
    </i>
  </rowItems>
  <colItems count="1">
    <i/>
  </colItems>
  <dataFields count="1">
    <dataField name=" Target Hit %" fld="10" baseField="1" baseItem="0" numFmtId="164"/>
  </dataFields>
  <chartFormats count="1">
    <chartFormat chart="0" format="0" series="1">
      <pivotArea type="data" outline="0" fieldPosition="0">
        <references count="1">
          <reference field="4294967294" count="1" selected="0">
            <x v="0"/>
          </reference>
        </references>
      </pivotArea>
    </chartFormat>
  </chartFormats>
  <pivotTableStyleInfo name="PivotStyleMedium24" showRowHeaders="1" showColHeaders="1" showRowStripes="0" showColStripes="0" showLastColumn="1"/>
  <filters count="1">
    <filter fld="1" type="count" evalOrder="-1" id="5"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24" cacheId="1" applyNumberFormats="0" applyBorderFormats="0" applyFontFormats="0" applyPatternFormats="0" applyAlignmentFormats="0" applyWidthHeightFormats="1" dataCaption="Values" updatedVersion="5" minRefreshableVersion="3" rowGrandTotals="0" colGrandTotals="0" itemPrintTitles="1" createdVersion="5" indent="0" outline="1" outlineData="1" multipleFieldFilters="0" chartFormat="2">
  <location ref="G3:H8" firstHeaderRow="1" firstDataRow="1" firstDataCol="1"/>
  <pivotFields count="12">
    <pivotField showAll="0"/>
    <pivotField axis="axisRow" showAll="0" measureFilter="1">
      <items count="143">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x="141"/>
        <item t="default"/>
      </items>
    </pivotField>
    <pivotField showAll="0">
      <items count="10">
        <item h="1" x="3"/>
        <item h="1" x="1"/>
        <item x="0"/>
        <item h="1" x="2"/>
        <item h="1" x="5"/>
        <item h="1" x="4"/>
        <item h="1" x="6"/>
        <item h="1" x="7"/>
        <item h="1" x="8"/>
        <item t="default"/>
      </items>
    </pivotField>
    <pivotField showAll="0"/>
    <pivotField showAll="0"/>
    <pivotField showAll="0"/>
    <pivotField showAll="0"/>
    <pivotField showAll="0"/>
    <pivotField showAll="0"/>
    <pivotField showAll="0"/>
    <pivotField dataField="1" showAll="0"/>
    <pivotField showAll="0"/>
  </pivotFields>
  <rowFields count="1">
    <field x="1"/>
  </rowFields>
  <rowItems count="5">
    <i>
      <x v="3"/>
    </i>
    <i>
      <x v="15"/>
    </i>
    <i>
      <x v="31"/>
    </i>
    <i>
      <x v="59"/>
    </i>
    <i>
      <x v="79"/>
    </i>
  </rowItems>
  <colItems count="1">
    <i/>
  </colItems>
  <dataFields count="1">
    <dataField name=" Target Hit %" fld="10" baseField="1" baseItem="0" numFmtId="164"/>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s>
  <pivotTableStyleInfo name="PivotStyleMedium20"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23" cacheId="1" applyNumberFormats="0" applyBorderFormats="0" applyFontFormats="0" applyPatternFormats="0" applyAlignmentFormats="0" applyWidthHeightFormats="1" dataCaption="Values" updatedVersion="5" minRefreshableVersion="3" rowGrandTotals="0" colGrandTotals="0" itemPrintTitles="1" createdVersion="5" indent="0" outline="1" outlineData="1" multipleFieldFilters="0">
  <location ref="D3:E8" firstHeaderRow="1" firstDataRow="1" firstDataCol="1"/>
  <pivotFields count="12">
    <pivotField showAll="0"/>
    <pivotField axis="axisRow" showAll="0" measureFilter="1">
      <items count="143">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x="141"/>
        <item t="default"/>
      </items>
    </pivotField>
    <pivotField showAll="0">
      <items count="10">
        <item h="1" x="3"/>
        <item h="1" x="1"/>
        <item x="0"/>
        <item h="1" x="2"/>
        <item h="1" x="5"/>
        <item h="1" x="4"/>
        <item h="1" x="6"/>
        <item h="1" x="7"/>
        <item h="1" x="8"/>
        <item t="default"/>
      </items>
    </pivotField>
    <pivotField showAll="0">
      <items count="72">
        <item x="28"/>
        <item x="16"/>
        <item x="48"/>
        <item x="14"/>
        <item x="38"/>
        <item x="24"/>
        <item x="35"/>
        <item x="39"/>
        <item x="17"/>
        <item x="64"/>
        <item x="37"/>
        <item x="62"/>
        <item x="65"/>
        <item x="63"/>
        <item x="26"/>
        <item x="58"/>
        <item x="46"/>
        <item x="40"/>
        <item x="4"/>
        <item x="15"/>
        <item x="55"/>
        <item x="22"/>
        <item x="47"/>
        <item x="67"/>
        <item x="42"/>
        <item x="1"/>
        <item x="2"/>
        <item x="56"/>
        <item x="23"/>
        <item x="52"/>
        <item x="0"/>
        <item x="50"/>
        <item x="45"/>
        <item x="3"/>
        <item x="8"/>
        <item x="60"/>
        <item x="21"/>
        <item x="66"/>
        <item x="61"/>
        <item x="9"/>
        <item x="27"/>
        <item x="31"/>
        <item x="19"/>
        <item x="32"/>
        <item x="51"/>
        <item x="25"/>
        <item x="7"/>
        <item x="33"/>
        <item x="43"/>
        <item x="41"/>
        <item x="53"/>
        <item x="13"/>
        <item x="10"/>
        <item x="34"/>
        <item x="54"/>
        <item x="29"/>
        <item x="12"/>
        <item x="6"/>
        <item x="69"/>
        <item x="5"/>
        <item x="44"/>
        <item x="36"/>
        <item x="68"/>
        <item x="30"/>
        <item x="59"/>
        <item x="18"/>
        <item x="11"/>
        <item x="57"/>
        <item x="49"/>
        <item x="20"/>
        <item x="70"/>
        <item t="default"/>
      </items>
    </pivotField>
    <pivotField showAll="0">
      <items count="72">
        <item x="46"/>
        <item x="40"/>
        <item x="28"/>
        <item x="38"/>
        <item x="47"/>
        <item x="33"/>
        <item x="10"/>
        <item x="29"/>
        <item x="53"/>
        <item x="67"/>
        <item x="19"/>
        <item x="27"/>
        <item x="65"/>
        <item x="14"/>
        <item x="8"/>
        <item x="6"/>
        <item x="25"/>
        <item x="5"/>
        <item x="17"/>
        <item x="39"/>
        <item x="35"/>
        <item x="22"/>
        <item x="37"/>
        <item x="54"/>
        <item x="68"/>
        <item x="48"/>
        <item x="57"/>
        <item x="16"/>
        <item x="56"/>
        <item x="51"/>
        <item x="31"/>
        <item x="9"/>
        <item x="60"/>
        <item x="4"/>
        <item x="41"/>
        <item x="13"/>
        <item x="26"/>
        <item x="30"/>
        <item x="63"/>
        <item x="61"/>
        <item x="52"/>
        <item x="62"/>
        <item x="24"/>
        <item x="36"/>
        <item x="66"/>
        <item x="15"/>
        <item x="42"/>
        <item x="20"/>
        <item x="34"/>
        <item x="18"/>
        <item x="45"/>
        <item x="44"/>
        <item x="12"/>
        <item x="43"/>
        <item x="2"/>
        <item x="55"/>
        <item x="69"/>
        <item x="32"/>
        <item x="49"/>
        <item x="0"/>
        <item x="1"/>
        <item x="21"/>
        <item x="11"/>
        <item x="23"/>
        <item x="59"/>
        <item x="64"/>
        <item x="50"/>
        <item x="58"/>
        <item x="7"/>
        <item x="3"/>
        <item x="70"/>
        <item t="default"/>
      </items>
    </pivotField>
    <pivotField showAll="0">
      <items count="71">
        <item x="34"/>
        <item x="11"/>
        <item x="36"/>
        <item x="3"/>
        <item x="35"/>
        <item x="60"/>
        <item x="27"/>
        <item x="21"/>
        <item x="8"/>
        <item x="56"/>
        <item x="55"/>
        <item x="5"/>
        <item x="30"/>
        <item x="66"/>
        <item x="46"/>
        <item x="20"/>
        <item x="61"/>
        <item x="32"/>
        <item x="13"/>
        <item x="63"/>
        <item x="6"/>
        <item x="9"/>
        <item x="28"/>
        <item x="41"/>
        <item x="53"/>
        <item x="31"/>
        <item x="14"/>
        <item x="45"/>
        <item x="1"/>
        <item x="19"/>
        <item x="4"/>
        <item x="57"/>
        <item x="7"/>
        <item x="42"/>
        <item x="68"/>
        <item x="47"/>
        <item x="52"/>
        <item x="64"/>
        <item x="51"/>
        <item x="49"/>
        <item x="17"/>
        <item x="54"/>
        <item x="12"/>
        <item x="50"/>
        <item x="25"/>
        <item x="43"/>
        <item x="39"/>
        <item x="33"/>
        <item x="67"/>
        <item x="29"/>
        <item x="23"/>
        <item x="59"/>
        <item x="40"/>
        <item x="38"/>
        <item x="62"/>
        <item x="58"/>
        <item x="48"/>
        <item x="2"/>
        <item x="44"/>
        <item x="37"/>
        <item x="16"/>
        <item x="24"/>
        <item x="65"/>
        <item x="22"/>
        <item x="10"/>
        <item x="15"/>
        <item x="18"/>
        <item x="0"/>
        <item x="26"/>
        <item x="69"/>
        <item t="default"/>
      </items>
    </pivotField>
    <pivotField showAll="0">
      <items count="75">
        <item x="22"/>
        <item x="10"/>
        <item x="52"/>
        <item x="46"/>
        <item x="1"/>
        <item x="44"/>
        <item x="29"/>
        <item x="37"/>
        <item x="47"/>
        <item x="12"/>
        <item x="54"/>
        <item x="7"/>
        <item x="63"/>
        <item x="4"/>
        <item x="66"/>
        <item x="50"/>
        <item x="64"/>
        <item x="41"/>
        <item x="58"/>
        <item x="48"/>
        <item x="21"/>
        <item x="49"/>
        <item x="8"/>
        <item x="62"/>
        <item x="38"/>
        <item x="53"/>
        <item x="45"/>
        <item x="20"/>
        <item x="18"/>
        <item x="33"/>
        <item x="65"/>
        <item x="5"/>
        <item x="70"/>
        <item x="9"/>
        <item x="34"/>
        <item x="32"/>
        <item x="72"/>
        <item x="56"/>
        <item x="40"/>
        <item x="36"/>
        <item x="30"/>
        <item x="55"/>
        <item x="31"/>
        <item x="17"/>
        <item x="15"/>
        <item x="0"/>
        <item x="59"/>
        <item x="60"/>
        <item x="14"/>
        <item x="67"/>
        <item x="24"/>
        <item x="2"/>
        <item x="23"/>
        <item x="19"/>
        <item x="27"/>
        <item x="11"/>
        <item x="6"/>
        <item x="42"/>
        <item x="51"/>
        <item x="43"/>
        <item x="13"/>
        <item x="26"/>
        <item x="71"/>
        <item x="25"/>
        <item x="57"/>
        <item x="61"/>
        <item x="69"/>
        <item x="28"/>
        <item x="3"/>
        <item x="68"/>
        <item x="35"/>
        <item x="16"/>
        <item x="39"/>
        <item x="73"/>
        <item t="default"/>
      </items>
    </pivotField>
    <pivotField showAll="0">
      <items count="78">
        <item x="25"/>
        <item x="50"/>
        <item x="73"/>
        <item x="36"/>
        <item x="70"/>
        <item x="63"/>
        <item x="51"/>
        <item x="18"/>
        <item x="62"/>
        <item x="8"/>
        <item x="39"/>
        <item x="28"/>
        <item x="43"/>
        <item x="64"/>
        <item x="46"/>
        <item x="53"/>
        <item x="35"/>
        <item x="3"/>
        <item x="32"/>
        <item x="14"/>
        <item x="22"/>
        <item x="23"/>
        <item x="45"/>
        <item x="9"/>
        <item x="16"/>
        <item x="52"/>
        <item x="13"/>
        <item x="0"/>
        <item x="37"/>
        <item x="74"/>
        <item x="47"/>
        <item x="15"/>
        <item x="55"/>
        <item x="29"/>
        <item x="1"/>
        <item x="4"/>
        <item x="48"/>
        <item x="10"/>
        <item x="20"/>
        <item x="7"/>
        <item x="58"/>
        <item x="66"/>
        <item x="34"/>
        <item x="42"/>
        <item x="33"/>
        <item x="31"/>
        <item x="12"/>
        <item x="30"/>
        <item x="56"/>
        <item x="75"/>
        <item x="49"/>
        <item x="27"/>
        <item x="17"/>
        <item x="44"/>
        <item x="41"/>
        <item x="59"/>
        <item x="72"/>
        <item x="65"/>
        <item x="5"/>
        <item x="38"/>
        <item x="6"/>
        <item x="57"/>
        <item x="54"/>
        <item x="67"/>
        <item x="68"/>
        <item x="26"/>
        <item x="40"/>
        <item x="11"/>
        <item x="21"/>
        <item x="19"/>
        <item x="2"/>
        <item x="61"/>
        <item x="69"/>
        <item x="24"/>
        <item x="71"/>
        <item x="60"/>
        <item x="76"/>
        <item t="default"/>
      </items>
    </pivotField>
    <pivotField dataField="1" showAll="0"/>
    <pivotField showAll="0"/>
    <pivotField showAll="0"/>
    <pivotField showAll="0"/>
  </pivotFields>
  <rowFields count="1">
    <field x="1"/>
  </rowFields>
  <rowItems count="5">
    <i>
      <x v="26"/>
    </i>
    <i>
      <x v="70"/>
    </i>
    <i>
      <x v="72"/>
    </i>
    <i>
      <x v="77"/>
    </i>
    <i>
      <x v="141"/>
    </i>
  </rowItems>
  <colItems count="1">
    <i/>
  </colItems>
  <dataFields count="1">
    <dataField name="Sum of Total Sales" fld="8" baseField="1" baseItem="0"/>
  </dataFields>
  <pivotTableStyleInfo name="PivotStyleMedium28" showRowHeaders="1" showColHeaders="1" showRowStripes="0" showColStripes="0" showLastColumn="1"/>
  <filters count="1">
    <filter fld="1" type="count" evalOrder="-1" id="7"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Region" sourceName="Region">
  <pivotTables>
    <pivotTable tabId="2" name="PivotTable4"/>
    <pivotTable tabId="2" name="PivotTable1"/>
    <pivotTable tabId="2" name="PivotTable2"/>
    <pivotTable tabId="2" name="PivotTable3"/>
  </pivotTables>
  <data>
    <tabular pivotCacheId="93566871">
      <items count="8">
        <i x="3"/>
        <i x="1"/>
        <i x="0" s="1"/>
        <i x="2"/>
        <i x="5"/>
        <i x="4"/>
        <i x="6"/>
        <i x="7"/>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Region1" sourceName="Region">
  <data>
    <tabular pivotCacheId="93566872">
      <items count="9">
        <i x="3"/>
        <i x="1" s="1"/>
        <i x="0"/>
        <i x="2"/>
        <i x="5"/>
        <i x="4"/>
        <i x="6"/>
        <i x="7"/>
        <i x="8"/>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Region" cache="Slicer_Region" caption="Region" columnCount="8" showCaption="0" style="Slicer Style 1" rowHeight="216000"/>
</slicers>
</file>

<file path=xl/slicers/slicer2.xml><?xml version="1.0" encoding="utf-8"?>
<slicers xmlns="http://schemas.microsoft.com/office/spreadsheetml/2009/9/main" xmlns:mc="http://schemas.openxmlformats.org/markup-compatibility/2006" xmlns:x="http://schemas.openxmlformats.org/spreadsheetml/2006/main" mc:Ignorable="x">
  <slicer name="Region 1" cache="Slicer_Region1" caption="Region" columnCount="9" showCaption="0" style="Slicer Style 1" rowHeight="216000"/>
</slicers>
</file>

<file path=xl/tables/table1.xml><?xml version="1.0" encoding="utf-8"?>
<table xmlns="http://schemas.openxmlformats.org/spreadsheetml/2006/main" id="1" name="Table1" displayName="Table1" ref="A1:L2" totalsRowShown="0">
  <autoFilter ref="A1:L2"/>
  <tableColumns count="12">
    <tableColumn id="1" name="Emp Code"/>
    <tableColumn id="2" name="Sales Executive"/>
    <tableColumn id="3" name="Region"/>
    <tableColumn id="4" name="Day1"/>
    <tableColumn id="5" name="Day2"/>
    <tableColumn id="6" name="Day3"/>
    <tableColumn id="7" name="Day4"/>
    <tableColumn id="8" name="Day5"/>
    <tableColumn id="9" name="Total Sales"/>
    <tableColumn id="10" name="Target"/>
    <tableColumn id="11" name="Target Hit %"/>
    <tableColumn id="12" name="Away From Target %"/>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pivotTable" Target="../pivotTables/pivotTable7.xml"/><Relationship Id="rId7" Type="http://schemas.openxmlformats.org/officeDocument/2006/relationships/ctrlProp" Target="../ctrlProps/ctrlProp5.xml"/><Relationship Id="rId2" Type="http://schemas.openxmlformats.org/officeDocument/2006/relationships/pivotTable" Target="../pivotTables/pivotTable6.xml"/><Relationship Id="rId1" Type="http://schemas.openxmlformats.org/officeDocument/2006/relationships/pivotTable" Target="../pivotTables/pivotTable5.xml"/><Relationship Id="rId6" Type="http://schemas.openxmlformats.org/officeDocument/2006/relationships/vmlDrawing" Target="../drawings/vmlDrawing2.vml"/><Relationship Id="rId11" Type="http://schemas.microsoft.com/office/2007/relationships/slicer" Target="../slicers/slicer2.xml"/><Relationship Id="rId5" Type="http://schemas.openxmlformats.org/officeDocument/2006/relationships/drawing" Target="../drawings/drawing2.xml"/><Relationship Id="rId10" Type="http://schemas.openxmlformats.org/officeDocument/2006/relationships/ctrlProp" Target="../ctrlProps/ctrlProp8.xml"/><Relationship Id="rId4" Type="http://schemas.openxmlformats.org/officeDocument/2006/relationships/pivotTable" Target="../pivotTables/pivotTable8.xml"/><Relationship Id="rId9"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19"/>
  <sheetViews>
    <sheetView showGridLines="0" showRowColHeaders="0" tabSelected="1" zoomScale="150" zoomScaleNormal="150" workbookViewId="0">
      <selection activeCell="H5" sqref="H5"/>
    </sheetView>
  </sheetViews>
  <sheetFormatPr defaultRowHeight="14.4" x14ac:dyDescent="0.3"/>
  <cols>
    <col min="1" max="1" width="17.33203125" customWidth="1"/>
    <col min="2" max="2" width="10.44140625" bestFit="1" customWidth="1"/>
    <col min="3" max="3" width="2" customWidth="1"/>
    <col min="4" max="4" width="17" customWidth="1"/>
    <col min="5" max="5" width="14" customWidth="1"/>
    <col min="6" max="6" width="2.33203125" customWidth="1"/>
    <col min="7" max="7" width="14.44140625" bestFit="1" customWidth="1"/>
    <col min="8" max="8" width="15.6640625" bestFit="1" customWidth="1"/>
    <col min="9" max="9" width="1.77734375" customWidth="1"/>
    <col min="10" max="10" width="17.21875" customWidth="1"/>
    <col min="11" max="11" width="22.88671875" bestFit="1" customWidth="1"/>
  </cols>
  <sheetData>
    <row r="1" spans="1:11" ht="26.4" customHeight="1" x14ac:dyDescent="0.3">
      <c r="A1" s="12" t="b">
        <v>1</v>
      </c>
      <c r="B1" s="12"/>
      <c r="C1" s="12"/>
      <c r="D1" s="12" t="b">
        <v>1</v>
      </c>
      <c r="E1" s="12"/>
      <c r="F1" s="12"/>
      <c r="G1" s="12" t="b">
        <v>1</v>
      </c>
      <c r="H1" s="12"/>
      <c r="I1" s="12"/>
      <c r="J1" s="12" t="b">
        <v>1</v>
      </c>
      <c r="K1" s="12"/>
    </row>
    <row r="2" spans="1:11" ht="37.799999999999997" customHeight="1" x14ac:dyDescent="0.3">
      <c r="A2" s="12"/>
      <c r="B2" s="12"/>
      <c r="C2" s="12"/>
      <c r="D2" s="12"/>
      <c r="E2" s="12"/>
      <c r="F2" s="12"/>
      <c r="G2" s="12"/>
      <c r="H2" s="12"/>
      <c r="I2" s="12"/>
      <c r="J2" s="12"/>
      <c r="K2" s="12"/>
    </row>
    <row r="3" spans="1:11" x14ac:dyDescent="0.3">
      <c r="A3" s="9" t="s">
        <v>1</v>
      </c>
      <c r="B3" t="s">
        <v>302</v>
      </c>
      <c r="C3" s="12"/>
      <c r="D3" s="9" t="s">
        <v>1</v>
      </c>
      <c r="E3" t="s">
        <v>302</v>
      </c>
      <c r="F3" s="12"/>
      <c r="G3" s="9" t="s">
        <v>1</v>
      </c>
      <c r="H3" t="s">
        <v>303</v>
      </c>
      <c r="I3" s="12"/>
      <c r="J3" s="9" t="s">
        <v>1</v>
      </c>
      <c r="K3" t="s">
        <v>304</v>
      </c>
    </row>
    <row r="4" spans="1:11" x14ac:dyDescent="0.3">
      <c r="A4" s="10" t="s">
        <v>229</v>
      </c>
      <c r="B4" s="13">
        <v>351</v>
      </c>
      <c r="C4" s="12"/>
      <c r="D4" s="10" t="s">
        <v>213</v>
      </c>
      <c r="E4" s="13">
        <v>245</v>
      </c>
      <c r="F4" s="12"/>
      <c r="G4" s="10" t="s">
        <v>229</v>
      </c>
      <c r="H4" s="11">
        <v>0.70199999999999996</v>
      </c>
      <c r="I4" s="12"/>
      <c r="J4" s="10" t="s">
        <v>213</v>
      </c>
      <c r="K4" s="11">
        <v>0.51</v>
      </c>
    </row>
    <row r="5" spans="1:11" x14ac:dyDescent="0.3">
      <c r="A5" s="10" t="s">
        <v>181</v>
      </c>
      <c r="B5" s="13">
        <v>351</v>
      </c>
      <c r="C5" s="12"/>
      <c r="D5" s="10" t="s">
        <v>197</v>
      </c>
      <c r="E5" s="13">
        <v>281</v>
      </c>
      <c r="F5" s="12"/>
      <c r="G5" s="10" t="s">
        <v>181</v>
      </c>
      <c r="H5" s="11">
        <v>0.70199999999999996</v>
      </c>
      <c r="I5" s="12"/>
      <c r="J5" s="10" t="s">
        <v>197</v>
      </c>
      <c r="K5" s="11">
        <v>0.43799999999999994</v>
      </c>
    </row>
    <row r="6" spans="1:11" x14ac:dyDescent="0.3">
      <c r="A6" s="10" t="s">
        <v>13</v>
      </c>
      <c r="B6" s="13">
        <v>339</v>
      </c>
      <c r="C6" s="12"/>
      <c r="D6" s="10" t="s">
        <v>165</v>
      </c>
      <c r="E6" s="13">
        <v>143</v>
      </c>
      <c r="F6" s="12"/>
      <c r="G6" s="10" t="s">
        <v>13</v>
      </c>
      <c r="H6" s="11">
        <v>0.67800000000000005</v>
      </c>
      <c r="I6" s="12"/>
      <c r="J6" s="10" t="s">
        <v>165</v>
      </c>
      <c r="K6" s="11">
        <v>0.71399999999999997</v>
      </c>
    </row>
    <row r="7" spans="1:11" x14ac:dyDescent="0.3">
      <c r="A7" s="10" t="s">
        <v>85</v>
      </c>
      <c r="B7" s="13">
        <v>332</v>
      </c>
      <c r="C7" s="12"/>
      <c r="D7" s="10" t="s">
        <v>101</v>
      </c>
      <c r="E7" s="13">
        <v>207</v>
      </c>
      <c r="F7" s="12"/>
      <c r="G7" s="10" t="s">
        <v>85</v>
      </c>
      <c r="H7" s="11">
        <v>0.66400000000000003</v>
      </c>
      <c r="I7" s="12"/>
      <c r="J7" s="10" t="s">
        <v>101</v>
      </c>
      <c r="K7" s="11">
        <v>0.58600000000000008</v>
      </c>
    </row>
    <row r="8" spans="1:11" x14ac:dyDescent="0.3">
      <c r="A8" s="10" t="s">
        <v>69</v>
      </c>
      <c r="B8" s="13">
        <v>344</v>
      </c>
      <c r="C8" s="12"/>
      <c r="D8" s="10" t="s">
        <v>37</v>
      </c>
      <c r="E8" s="13">
        <v>189</v>
      </c>
      <c r="F8" s="12"/>
      <c r="G8" s="10" t="s">
        <v>69</v>
      </c>
      <c r="H8" s="11">
        <v>0.68799999999999994</v>
      </c>
      <c r="I8" s="12"/>
      <c r="J8" s="10" t="s">
        <v>37</v>
      </c>
      <c r="K8" s="11">
        <v>0.622</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2049" r:id="rId8" name="Check Box 1">
              <controlPr defaultSize="0" autoFill="0" autoLine="0" autoPict="0" macro="[0]!SlicerConnection">
                <anchor moveWithCells="1">
                  <from>
                    <xdr:col>0</xdr:col>
                    <xdr:colOff>373380</xdr:colOff>
                    <xdr:row>1</xdr:row>
                    <xdr:rowOff>137160</xdr:rowOff>
                  </from>
                  <to>
                    <xdr:col>1</xdr:col>
                    <xdr:colOff>99060</xdr:colOff>
                    <xdr:row>1</xdr:row>
                    <xdr:rowOff>358140</xdr:rowOff>
                  </to>
                </anchor>
              </controlPr>
            </control>
          </mc:Choice>
        </mc:AlternateContent>
        <mc:AlternateContent xmlns:mc="http://schemas.openxmlformats.org/markup-compatibility/2006">
          <mc:Choice Requires="x14">
            <control shapeId="2050" r:id="rId9" name="Check Box 2">
              <controlPr defaultSize="0" autoFill="0" autoLine="0" autoPict="0" macro="[0]!SlicerConnection">
                <anchor moveWithCells="1">
                  <from>
                    <xdr:col>3</xdr:col>
                    <xdr:colOff>586740</xdr:colOff>
                    <xdr:row>1</xdr:row>
                    <xdr:rowOff>129540</xdr:rowOff>
                  </from>
                  <to>
                    <xdr:col>4</xdr:col>
                    <xdr:colOff>335280</xdr:colOff>
                    <xdr:row>1</xdr:row>
                    <xdr:rowOff>350520</xdr:rowOff>
                  </to>
                </anchor>
              </controlPr>
            </control>
          </mc:Choice>
        </mc:AlternateContent>
        <mc:AlternateContent xmlns:mc="http://schemas.openxmlformats.org/markup-compatibility/2006">
          <mc:Choice Requires="x14">
            <control shapeId="2051" r:id="rId10" name="Check Box 3">
              <controlPr defaultSize="0" autoFill="0" autoLine="0" autoPict="0" macro="[0]!SlicerConnection">
                <anchor moveWithCells="1">
                  <from>
                    <xdr:col>6</xdr:col>
                    <xdr:colOff>693420</xdr:colOff>
                    <xdr:row>1</xdr:row>
                    <xdr:rowOff>137160</xdr:rowOff>
                  </from>
                  <to>
                    <xdr:col>7</xdr:col>
                    <xdr:colOff>617220</xdr:colOff>
                    <xdr:row>1</xdr:row>
                    <xdr:rowOff>358140</xdr:rowOff>
                  </to>
                </anchor>
              </controlPr>
            </control>
          </mc:Choice>
        </mc:AlternateContent>
        <mc:AlternateContent xmlns:mc="http://schemas.openxmlformats.org/markup-compatibility/2006">
          <mc:Choice Requires="x14">
            <control shapeId="2052" r:id="rId11" name="Check Box 4">
              <controlPr defaultSize="0" autoFill="0" autoLine="0" autoPict="0" macro="[0]!SlicerConnection">
                <anchor moveWithCells="1">
                  <from>
                    <xdr:col>9</xdr:col>
                    <xdr:colOff>899160</xdr:colOff>
                    <xdr:row>1</xdr:row>
                    <xdr:rowOff>137160</xdr:rowOff>
                  </from>
                  <to>
                    <xdr:col>10</xdr:col>
                    <xdr:colOff>624840</xdr:colOff>
                    <xdr:row>1</xdr:row>
                    <xdr:rowOff>358140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2"/>
  <sheetViews>
    <sheetView workbookViewId="0">
      <selection sqref="A1:L2"/>
    </sheetView>
  </sheetViews>
  <sheetFormatPr defaultRowHeight="14.4" x14ac:dyDescent="0.3"/>
  <cols>
    <col min="1" max="1" width="11.44140625" customWidth="1"/>
    <col min="2" max="2" width="15.5546875" customWidth="1"/>
    <col min="9" max="9" width="11.77734375" customWidth="1"/>
    <col min="11" max="11" width="12.88671875" customWidth="1"/>
    <col min="12" max="12" width="20" customWidth="1"/>
  </cols>
  <sheetData>
    <row r="1" spans="1:12" x14ac:dyDescent="0.3">
      <c r="A1" t="s">
        <v>0</v>
      </c>
      <c r="B1" t="s">
        <v>1</v>
      </c>
      <c r="C1" t="s">
        <v>2</v>
      </c>
      <c r="D1" t="s">
        <v>3</v>
      </c>
      <c r="E1" t="s">
        <v>4</v>
      </c>
      <c r="F1" t="s">
        <v>5</v>
      </c>
      <c r="G1" t="s">
        <v>6</v>
      </c>
      <c r="H1" t="s">
        <v>7</v>
      </c>
      <c r="I1" t="s">
        <v>8</v>
      </c>
      <c r="J1" t="s">
        <v>9</v>
      </c>
      <c r="K1" t="s">
        <v>10</v>
      </c>
      <c r="L1" t="s">
        <v>11</v>
      </c>
    </row>
    <row r="2" spans="1:12" x14ac:dyDescent="0.3">
      <c r="A2" t="s">
        <v>18</v>
      </c>
      <c r="B2" t="s">
        <v>19</v>
      </c>
      <c r="C2" t="s">
        <v>20</v>
      </c>
      <c r="D2">
        <v>45</v>
      </c>
      <c r="E2">
        <v>79</v>
      </c>
      <c r="F2">
        <v>88</v>
      </c>
      <c r="G2">
        <v>73</v>
      </c>
      <c r="H2">
        <v>94</v>
      </c>
      <c r="I2">
        <v>379</v>
      </c>
      <c r="J2">
        <v>500</v>
      </c>
      <c r="K2">
        <v>0.75800000000000001</v>
      </c>
      <c r="L2">
        <v>0.24199999999999999</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K20"/>
  <sheetViews>
    <sheetView zoomScale="145" zoomScaleNormal="145" workbookViewId="0">
      <selection activeCell="H7" sqref="H7"/>
    </sheetView>
  </sheetViews>
  <sheetFormatPr defaultRowHeight="14.4" x14ac:dyDescent="0.3"/>
  <cols>
    <col min="1" max="1" width="14.77734375" customWidth="1"/>
    <col min="2" max="2" width="16.77734375" customWidth="1"/>
    <col min="3" max="3" width="3.33203125" customWidth="1"/>
    <col min="4" max="4" width="13.5546875" bestFit="1" customWidth="1"/>
    <col min="5" max="5" width="16.77734375" customWidth="1"/>
    <col min="6" max="6" width="3.21875" customWidth="1"/>
    <col min="7" max="7" width="14.77734375" customWidth="1"/>
    <col min="8" max="8" width="11.88671875" customWidth="1"/>
    <col min="9" max="9" width="2.21875" customWidth="1"/>
    <col min="10" max="10" width="13.5546875" customWidth="1"/>
    <col min="11" max="11" width="13.77734375" customWidth="1"/>
  </cols>
  <sheetData>
    <row r="1" spans="1:11" ht="13.8" customHeight="1" x14ac:dyDescent="0.3"/>
    <row r="2" spans="1:11" ht="42" customHeight="1" x14ac:dyDescent="0.3">
      <c r="A2" s="15" t="b">
        <v>1</v>
      </c>
      <c r="B2" s="15"/>
      <c r="C2" s="15"/>
      <c r="D2" s="15" t="b">
        <v>0</v>
      </c>
      <c r="E2" s="15"/>
      <c r="F2" s="15"/>
      <c r="G2" s="15" t="b">
        <v>0</v>
      </c>
      <c r="H2" s="15"/>
      <c r="I2" s="15"/>
      <c r="J2" s="15" t="b">
        <v>0</v>
      </c>
      <c r="K2" s="15"/>
    </row>
    <row r="3" spans="1:11" x14ac:dyDescent="0.3">
      <c r="A3" s="9" t="s">
        <v>305</v>
      </c>
      <c r="B3" t="s">
        <v>307</v>
      </c>
      <c r="C3" s="15"/>
      <c r="D3" s="9" t="s">
        <v>305</v>
      </c>
      <c r="E3" t="s">
        <v>307</v>
      </c>
      <c r="F3" s="15"/>
      <c r="G3" s="9" t="s">
        <v>305</v>
      </c>
      <c r="H3" t="s">
        <v>308</v>
      </c>
      <c r="I3" s="15"/>
      <c r="J3" s="9" t="s">
        <v>305</v>
      </c>
      <c r="K3" t="s">
        <v>308</v>
      </c>
    </row>
    <row r="4" spans="1:11" x14ac:dyDescent="0.3">
      <c r="A4" s="10" t="s">
        <v>295</v>
      </c>
      <c r="B4" s="13">
        <v>382</v>
      </c>
      <c r="C4" s="15"/>
      <c r="D4" s="10" t="s">
        <v>253</v>
      </c>
      <c r="E4" s="13">
        <v>166</v>
      </c>
      <c r="F4" s="15"/>
      <c r="G4" s="10" t="s">
        <v>295</v>
      </c>
      <c r="H4" s="14">
        <v>0.76400000000000001</v>
      </c>
      <c r="I4" s="15"/>
      <c r="J4" s="10" t="s">
        <v>253</v>
      </c>
      <c r="K4" s="14">
        <v>0.33200000000000002</v>
      </c>
    </row>
    <row r="5" spans="1:11" x14ac:dyDescent="0.3">
      <c r="A5" s="10" t="s">
        <v>19</v>
      </c>
      <c r="B5" s="13">
        <v>379</v>
      </c>
      <c r="C5" s="15"/>
      <c r="D5" s="10" t="s">
        <v>165</v>
      </c>
      <c r="E5" s="13">
        <v>143</v>
      </c>
      <c r="F5" s="15"/>
      <c r="G5" s="10" t="s">
        <v>19</v>
      </c>
      <c r="H5" s="14">
        <v>0.75800000000000001</v>
      </c>
      <c r="I5" s="15"/>
      <c r="J5" s="10" t="s">
        <v>165</v>
      </c>
      <c r="K5" s="14">
        <v>0.28599999999999998</v>
      </c>
    </row>
    <row r="6" spans="1:11" x14ac:dyDescent="0.3">
      <c r="A6" s="10" t="s">
        <v>243</v>
      </c>
      <c r="B6" s="13">
        <v>389</v>
      </c>
      <c r="C6" s="15"/>
      <c r="D6" s="10" t="s">
        <v>161</v>
      </c>
      <c r="E6" s="13">
        <v>156</v>
      </c>
      <c r="F6" s="15"/>
      <c r="G6" s="10" t="s">
        <v>243</v>
      </c>
      <c r="H6" s="14">
        <v>0.77800000000000002</v>
      </c>
      <c r="I6" s="15"/>
      <c r="J6" s="10" t="s">
        <v>161</v>
      </c>
      <c r="K6" s="14">
        <v>0.312</v>
      </c>
    </row>
    <row r="7" spans="1:11" x14ac:dyDescent="0.3">
      <c r="A7" s="10" t="s">
        <v>187</v>
      </c>
      <c r="B7" s="13">
        <v>384</v>
      </c>
      <c r="C7" s="15"/>
      <c r="D7" s="10" t="s">
        <v>151</v>
      </c>
      <c r="E7" s="13">
        <v>166</v>
      </c>
      <c r="F7" s="15"/>
      <c r="G7" s="10" t="s">
        <v>187</v>
      </c>
      <c r="H7" s="14">
        <v>0.76800000000000002</v>
      </c>
      <c r="I7" s="15"/>
      <c r="J7" s="10" t="s">
        <v>151</v>
      </c>
      <c r="K7" s="14">
        <v>0.33200000000000002</v>
      </c>
    </row>
    <row r="8" spans="1:11" x14ac:dyDescent="0.3">
      <c r="A8" s="10" t="s">
        <v>147</v>
      </c>
      <c r="B8" s="13">
        <v>385</v>
      </c>
      <c r="C8" s="15"/>
      <c r="D8" s="10" t="s">
        <v>306</v>
      </c>
      <c r="E8" s="13"/>
      <c r="F8" s="15"/>
      <c r="G8" s="10" t="s">
        <v>147</v>
      </c>
      <c r="H8" s="14">
        <v>0.77</v>
      </c>
      <c r="I8" s="15"/>
      <c r="J8" s="10" t="s">
        <v>306</v>
      </c>
      <c r="K8" s="14"/>
    </row>
    <row r="9" spans="1:11" x14ac:dyDescent="0.3">
      <c r="D9" s="15"/>
      <c r="E9" s="15"/>
      <c r="H9" s="15"/>
    </row>
    <row r="10" spans="1:11" x14ac:dyDescent="0.3">
      <c r="D10" s="15"/>
      <c r="E10" s="15"/>
      <c r="H10" s="15"/>
    </row>
    <row r="11" spans="1:11" x14ac:dyDescent="0.3">
      <c r="D11" s="15"/>
      <c r="E11" s="15"/>
      <c r="H11" s="15"/>
    </row>
    <row r="12" spans="1:11" x14ac:dyDescent="0.3">
      <c r="D12" s="15"/>
      <c r="E12" s="15"/>
      <c r="H12" s="15"/>
    </row>
    <row r="13" spans="1:11" x14ac:dyDescent="0.3">
      <c r="D13" s="15"/>
      <c r="E13" s="15"/>
      <c r="H13" s="15"/>
    </row>
    <row r="14" spans="1:11" x14ac:dyDescent="0.3">
      <c r="D14" s="15"/>
      <c r="E14" s="15"/>
      <c r="H14" s="15"/>
    </row>
    <row r="15" spans="1:11" x14ac:dyDescent="0.3">
      <c r="D15" s="15"/>
      <c r="E15" s="15"/>
      <c r="H15" s="15"/>
    </row>
    <row r="16" spans="1:11" x14ac:dyDescent="0.3">
      <c r="D16" s="15"/>
      <c r="E16" s="15"/>
      <c r="H16" s="15"/>
    </row>
    <row r="17" spans="4:8" x14ac:dyDescent="0.3">
      <c r="D17" s="15"/>
      <c r="E17" s="15"/>
      <c r="H17" s="15"/>
    </row>
    <row r="18" spans="4:8" x14ac:dyDescent="0.3">
      <c r="D18" s="15"/>
      <c r="E18" s="15"/>
      <c r="H18" s="15"/>
    </row>
    <row r="19" spans="4:8" x14ac:dyDescent="0.3">
      <c r="D19" s="15"/>
      <c r="E19" s="15"/>
      <c r="H19" s="15"/>
    </row>
    <row r="20" spans="4:8" x14ac:dyDescent="0.3">
      <c r="D20" s="15"/>
      <c r="E20" s="15"/>
      <c r="H20" s="15"/>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4097" r:id="rId7" name="Check Box 1">
              <controlPr defaultSize="0" autoFill="0" autoLine="0" autoPict="0">
                <anchor moveWithCells="1">
                  <from>
                    <xdr:col>0</xdr:col>
                    <xdr:colOff>358140</xdr:colOff>
                    <xdr:row>1</xdr:row>
                    <xdr:rowOff>167640</xdr:rowOff>
                  </from>
                  <to>
                    <xdr:col>1</xdr:col>
                    <xdr:colOff>45720</xdr:colOff>
                    <xdr:row>1</xdr:row>
                    <xdr:rowOff>381000</xdr:rowOff>
                  </to>
                </anchor>
              </controlPr>
            </control>
          </mc:Choice>
        </mc:AlternateContent>
        <mc:AlternateContent xmlns:mc="http://schemas.openxmlformats.org/markup-compatibility/2006">
          <mc:Choice Requires="x14">
            <control shapeId="4098" r:id="rId8" name="Check Box 2">
              <controlPr defaultSize="0" autoFill="0" autoLine="0" autoPict="0">
                <anchor moveWithCells="1">
                  <from>
                    <xdr:col>3</xdr:col>
                    <xdr:colOff>518160</xdr:colOff>
                    <xdr:row>1</xdr:row>
                    <xdr:rowOff>297180</xdr:rowOff>
                  </from>
                  <to>
                    <xdr:col>4</xdr:col>
                    <xdr:colOff>297180</xdr:colOff>
                    <xdr:row>1</xdr:row>
                    <xdr:rowOff>518160</xdr:rowOff>
                  </to>
                </anchor>
              </controlPr>
            </control>
          </mc:Choice>
        </mc:AlternateContent>
        <mc:AlternateContent xmlns:mc="http://schemas.openxmlformats.org/markup-compatibility/2006">
          <mc:Choice Requires="x14">
            <control shapeId="4099" r:id="rId9" name="Check Box 3">
              <controlPr defaultSize="0" autoFill="0" autoLine="0" autoPict="0">
                <anchor moveWithCells="1">
                  <from>
                    <xdr:col>6</xdr:col>
                    <xdr:colOff>213360</xdr:colOff>
                    <xdr:row>1</xdr:row>
                    <xdr:rowOff>160020</xdr:rowOff>
                  </from>
                  <to>
                    <xdr:col>6</xdr:col>
                    <xdr:colOff>975360</xdr:colOff>
                    <xdr:row>1</xdr:row>
                    <xdr:rowOff>396240</xdr:rowOff>
                  </to>
                </anchor>
              </controlPr>
            </control>
          </mc:Choice>
        </mc:AlternateContent>
        <mc:AlternateContent xmlns:mc="http://schemas.openxmlformats.org/markup-compatibility/2006">
          <mc:Choice Requires="x14">
            <control shapeId="4100" r:id="rId10" name="Check Box 4">
              <controlPr defaultSize="0" autoFill="0" autoLine="0" autoPict="0" macro="[0]!SlicerConnection">
                <anchor moveWithCells="1">
                  <from>
                    <xdr:col>9</xdr:col>
                    <xdr:colOff>182880</xdr:colOff>
                    <xdr:row>1</xdr:row>
                    <xdr:rowOff>182880</xdr:rowOff>
                  </from>
                  <to>
                    <xdr:col>9</xdr:col>
                    <xdr:colOff>891540</xdr:colOff>
                    <xdr:row>1</xdr:row>
                    <xdr:rowOff>388620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142"/>
  <sheetViews>
    <sheetView zoomScale="130" zoomScaleNormal="130" workbookViewId="0">
      <selection activeCell="A2" sqref="A1:XFD1048576"/>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DASHBOARD</vt:lpstr>
      <vt:lpstr>Sheet2</vt:lpstr>
      <vt:lpstr>new dash</vt:lpstr>
      <vt:lpstr>RAW DATA</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jagdish</cp:lastModifiedBy>
  <dcterms:created xsi:type="dcterms:W3CDTF">2022-05-30T01:30:00Z</dcterms:created>
  <dcterms:modified xsi:type="dcterms:W3CDTF">2026-01-28T08:48:15Z</dcterms:modified>
</cp:coreProperties>
</file>